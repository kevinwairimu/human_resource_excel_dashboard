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kython.DESKTOP-V776MIM\Downloads\analist\"/>
    </mc:Choice>
  </mc:AlternateContent>
  <bookViews>
    <workbookView xWindow="0" yWindow="0" windowWidth="20490" windowHeight="7755"/>
  </bookViews>
  <sheets>
    <sheet name="DASHBOARD" sheetId="1" r:id="rId1"/>
    <sheet name="Sheet4" sheetId="5" r:id="rId2"/>
    <sheet name="DATA" sheetId="3" r:id="rId3"/>
  </sheets>
  <definedNames>
    <definedName name="Slicer_Department">#N/A</definedName>
    <definedName name="Slicer_Gender">#N/A</definedName>
  </definedNames>
  <calcPr calcId="152511"/>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27" i="5" l="1"/>
  <c r="M23" i="5"/>
  <c r="M28" i="5"/>
  <c r="M26" i="5"/>
  <c r="M25" i="5"/>
  <c r="M24" i="5"/>
  <c r="M11" i="5"/>
  <c r="M10" i="5"/>
  <c r="N11" i="5" l="1"/>
  <c r="O11" i="5" s="1"/>
  <c r="N10" i="5"/>
  <c r="O10" i="5" s="1"/>
  <c r="H20" i="5"/>
  <c r="H15" i="5"/>
  <c r="H19" i="5"/>
  <c r="H16" i="5"/>
  <c r="H17" i="5"/>
  <c r="H13" i="5"/>
  <c r="H14" i="5"/>
  <c r="H12" i="5"/>
  <c r="H21" i="5" l="1"/>
  <c r="I19" i="5"/>
  <c r="J19" i="5" s="1"/>
  <c r="I20" i="5"/>
  <c r="J20" i="5" s="1"/>
  <c r="B11" i="5"/>
  <c r="B12" i="5"/>
  <c r="B10" i="5"/>
  <c r="E12" i="5"/>
  <c r="E13" i="5"/>
  <c r="E15" i="5"/>
  <c r="E14" i="5"/>
  <c r="E11" i="5"/>
  <c r="B13" i="5" l="1"/>
  <c r="E16" i="5"/>
</calcChain>
</file>

<file path=xl/sharedStrings.xml><?xml version="1.0" encoding="utf-8"?>
<sst xmlns="http://schemas.openxmlformats.org/spreadsheetml/2006/main" count="905" uniqueCount="237">
  <si>
    <t>Employee ID</t>
  </si>
  <si>
    <t>Full Name</t>
  </si>
  <si>
    <t>Gender</t>
  </si>
  <si>
    <t>Age</t>
  </si>
  <si>
    <t>Age range</t>
  </si>
  <si>
    <t>Region</t>
  </si>
  <si>
    <t>Job Title</t>
  </si>
  <si>
    <t>Department</t>
  </si>
  <si>
    <t>Manager/Supervisor</t>
  </si>
  <si>
    <t>Date of Hire</t>
  </si>
  <si>
    <t>Employment Status</t>
  </si>
  <si>
    <t>Work Location</t>
  </si>
  <si>
    <t>Salary</t>
  </si>
  <si>
    <t>Pay Grade</t>
  </si>
  <si>
    <t>Bonus/Allowances</t>
  </si>
  <si>
    <t>Insurance Details</t>
  </si>
  <si>
    <t>Leave Taken</t>
  </si>
  <si>
    <t>Performance Rating</t>
  </si>
  <si>
    <t>Training Programs Attended</t>
  </si>
  <si>
    <t>Skills</t>
  </si>
  <si>
    <t>Certifications</t>
  </si>
  <si>
    <t>Lori Nguyen</t>
  </si>
  <si>
    <t>Female</t>
  </si>
  <si>
    <t>18-25</t>
  </si>
  <si>
    <t>East</t>
  </si>
  <si>
    <t>Manager</t>
  </si>
  <si>
    <t>Finance</t>
  </si>
  <si>
    <t>Luis Reynolds</t>
  </si>
  <si>
    <t>2019-03-15</t>
  </si>
  <si>
    <t>Full-Time</t>
  </si>
  <si>
    <t>Head Office</t>
  </si>
  <si>
    <t>C</t>
  </si>
  <si>
    <t>Health</t>
  </si>
  <si>
    <t>Leadership Training</t>
  </si>
  <si>
    <t>Design</t>
  </si>
  <si>
    <t>Certified Professional</t>
  </si>
  <si>
    <t>Gary Garcia</t>
  </si>
  <si>
    <t>Male</t>
  </si>
  <si>
    <t>26-35</t>
  </si>
  <si>
    <t>Central</t>
  </si>
  <si>
    <t>Designer</t>
  </si>
  <si>
    <t>HR</t>
  </si>
  <si>
    <t>Ashley Simmons MD</t>
  </si>
  <si>
    <t>2022-12-20</t>
  </si>
  <si>
    <t>Branch Office</t>
  </si>
  <si>
    <t>B</t>
  </si>
  <si>
    <t>None</t>
  </si>
  <si>
    <t>Excel Workshop</t>
  </si>
  <si>
    <t>Jeremy Nguyen</t>
  </si>
  <si>
    <t>West</t>
  </si>
  <si>
    <t>HR Specialist</t>
  </si>
  <si>
    <t>Marketing</t>
  </si>
  <si>
    <t>Cassandra Duncan</t>
  </si>
  <si>
    <t>2022-08-10</t>
  </si>
  <si>
    <t>Remote</t>
  </si>
  <si>
    <t>D</t>
  </si>
  <si>
    <t>Management</t>
  </si>
  <si>
    <t>Advanced Training</t>
  </si>
  <si>
    <t>Kimberly Jones</t>
  </si>
  <si>
    <t>36-45</t>
  </si>
  <si>
    <t>Operations</t>
  </si>
  <si>
    <t>Janet Harris</t>
  </si>
  <si>
    <t>2024-09-03</t>
  </si>
  <si>
    <t>Contract</t>
  </si>
  <si>
    <t>A</t>
  </si>
  <si>
    <t>Health + Dental</t>
  </si>
  <si>
    <t>Python</t>
  </si>
  <si>
    <t>Anthony Gates</t>
  </si>
  <si>
    <t>56 &lt;</t>
  </si>
  <si>
    <t>Mr. Frank Clay</t>
  </si>
  <si>
    <t>2019-03-14</t>
  </si>
  <si>
    <t>Courtney Foster</t>
  </si>
  <si>
    <t>Developer</t>
  </si>
  <si>
    <t>Dorothy Price</t>
  </si>
  <si>
    <t>2017-01-23</t>
  </si>
  <si>
    <t>Communication</t>
  </si>
  <si>
    <t>Catherine Hall</t>
  </si>
  <si>
    <t>Michele Sexton</t>
  </si>
  <si>
    <t>2024-08-17</t>
  </si>
  <si>
    <t>Deanna Ball</t>
  </si>
  <si>
    <t>South</t>
  </si>
  <si>
    <t>IT</t>
  </si>
  <si>
    <t>Richard Schmidt</t>
  </si>
  <si>
    <t>2014-12-09</t>
  </si>
  <si>
    <t>Candace Nelson</t>
  </si>
  <si>
    <t>Teresa Pearson</t>
  </si>
  <si>
    <t>2021-06-28</t>
  </si>
  <si>
    <t>Mandy Davis</t>
  </si>
  <si>
    <t>Laura Hart</t>
  </si>
  <si>
    <t>2018-05-20</t>
  </si>
  <si>
    <t>Matthew Powell</t>
  </si>
  <si>
    <t>Andrea May</t>
  </si>
  <si>
    <t>2017-02-13</t>
  </si>
  <si>
    <t>Bruce Nelson</t>
  </si>
  <si>
    <t>Casey Martin</t>
  </si>
  <si>
    <t>2024-05-05</t>
  </si>
  <si>
    <t>Excel</t>
  </si>
  <si>
    <t>Dawn Cole</t>
  </si>
  <si>
    <t>46-55</t>
  </si>
  <si>
    <t>Amber Allen</t>
  </si>
  <si>
    <t>2022-04-19</t>
  </si>
  <si>
    <t>Tanner Morse</t>
  </si>
  <si>
    <t>North</t>
  </si>
  <si>
    <t>Adam Johnson</t>
  </si>
  <si>
    <t>2015-11-16</t>
  </si>
  <si>
    <t>Jose Griffin</t>
  </si>
  <si>
    <t>Nicole Dominguez</t>
  </si>
  <si>
    <t>2023-09-09</t>
  </si>
  <si>
    <t>Daniel Hawkins</t>
  </si>
  <si>
    <t>Andrew Best</t>
  </si>
  <si>
    <t>2017-12-12</t>
  </si>
  <si>
    <t>Part-Time</t>
  </si>
  <si>
    <t>Elaine Mcclain</t>
  </si>
  <si>
    <t>Gabrielle Rodriguez</t>
  </si>
  <si>
    <t>2017-03-10</t>
  </si>
  <si>
    <t>Allison Harvey</t>
  </si>
  <si>
    <t>2019-03-04</t>
  </si>
  <si>
    <t>Thomas Kramer</t>
  </si>
  <si>
    <t>Tristan Mejia</t>
  </si>
  <si>
    <t>2022-11-20</t>
  </si>
  <si>
    <t>Kevin Whitaker</t>
  </si>
  <si>
    <t>Analyst</t>
  </si>
  <si>
    <t>Mary Welch</t>
  </si>
  <si>
    <t>2021-03-02</t>
  </si>
  <si>
    <t>Dustin Carter</t>
  </si>
  <si>
    <t>Douglas Miles</t>
  </si>
  <si>
    <t>2021-08-01</t>
  </si>
  <si>
    <t>Nicole Williamson</t>
  </si>
  <si>
    <t>Jessica Fleming</t>
  </si>
  <si>
    <t>2015-08-14</t>
  </si>
  <si>
    <t>Matthew Knight</t>
  </si>
  <si>
    <t>Christine Lee</t>
  </si>
  <si>
    <t>2015-10-21</t>
  </si>
  <si>
    <t>Donna Jones</t>
  </si>
  <si>
    <t>Mario Smith DVM</t>
  </si>
  <si>
    <t>2015-03-14</t>
  </si>
  <si>
    <t>Carolyn Bullock</t>
  </si>
  <si>
    <t>Joseph Francis</t>
  </si>
  <si>
    <t>2024-05-22</t>
  </si>
  <si>
    <t>Wendy Gomez</t>
  </si>
  <si>
    <t>Sarah Young</t>
  </si>
  <si>
    <t>2017-03-19</t>
  </si>
  <si>
    <t>Michael Thomas</t>
  </si>
  <si>
    <t>Aaron Hart</t>
  </si>
  <si>
    <t>2021-09-15</t>
  </si>
  <si>
    <t>Kevin Bell</t>
  </si>
  <si>
    <t>Brian Boyd</t>
  </si>
  <si>
    <t>2022-05-09</t>
  </si>
  <si>
    <t>Richard Landry</t>
  </si>
  <si>
    <t>Steven Krueger</t>
  </si>
  <si>
    <t>2017-06-22</t>
  </si>
  <si>
    <t>George Hurley</t>
  </si>
  <si>
    <t>Debra Williams</t>
  </si>
  <si>
    <t>2020-11-28</t>
  </si>
  <si>
    <t>Mark Lopez</t>
  </si>
  <si>
    <t>Karen Mitchell</t>
  </si>
  <si>
    <t>2015-08-30</t>
  </si>
  <si>
    <t>Robert Williams</t>
  </si>
  <si>
    <t>Joseph Sanders</t>
  </si>
  <si>
    <t>2018-10-27</t>
  </si>
  <si>
    <t>Mary Schmidt</t>
  </si>
  <si>
    <t>Shelly George</t>
  </si>
  <si>
    <t>2018-08-26</t>
  </si>
  <si>
    <t>Mary Martinez</t>
  </si>
  <si>
    <t>Nicole Houston</t>
  </si>
  <si>
    <t>2023-07-24</t>
  </si>
  <si>
    <t>Paul Hall</t>
  </si>
  <si>
    <t>Kristin Shaffer</t>
  </si>
  <si>
    <t>2018-07-09</t>
  </si>
  <si>
    <t>Samantha Foster</t>
  </si>
  <si>
    <t>Joel Aguilar</t>
  </si>
  <si>
    <t>2016-12-21</t>
  </si>
  <si>
    <t>Timothy Aguilar</t>
  </si>
  <si>
    <t>Michael Wade</t>
  </si>
  <si>
    <t>2019-06-27</t>
  </si>
  <si>
    <t>Charles Andrews</t>
  </si>
  <si>
    <t>Jessica Walsh</t>
  </si>
  <si>
    <t>2021-08-27</t>
  </si>
  <si>
    <t>Veronica Nelson</t>
  </si>
  <si>
    <t>Kelly Mack</t>
  </si>
  <si>
    <t>2017-05-28</t>
  </si>
  <si>
    <t>Chris Sanchez</t>
  </si>
  <si>
    <t>John Conley</t>
  </si>
  <si>
    <t>2022-01-30</t>
  </si>
  <si>
    <t>Cassie Galvan</t>
  </si>
  <si>
    <t>Aaron Baker</t>
  </si>
  <si>
    <t>2017-04-20</t>
  </si>
  <si>
    <t>Jessica Jones</t>
  </si>
  <si>
    <t>Christopher Bass</t>
  </si>
  <si>
    <t>2019-07-22</t>
  </si>
  <si>
    <t>Emily Walker</t>
  </si>
  <si>
    <t>Sean Tucker PhD</t>
  </si>
  <si>
    <t>2018-11-29</t>
  </si>
  <si>
    <t>Vickie Lewis</t>
  </si>
  <si>
    <t>Jacob Scott</t>
  </si>
  <si>
    <t>2022-11-14</t>
  </si>
  <si>
    <t>Alexis Clark</t>
  </si>
  <si>
    <t>Joel Park</t>
  </si>
  <si>
    <t>2016-02-23</t>
  </si>
  <si>
    <t>Robert Davis</t>
  </si>
  <si>
    <t>Russell Marshall</t>
  </si>
  <si>
    <t>2018-05-18</t>
  </si>
  <si>
    <t>Daniel Brown MD</t>
  </si>
  <si>
    <t>James Holden</t>
  </si>
  <si>
    <t>2024-03-09</t>
  </si>
  <si>
    <t>Anna Payne</t>
  </si>
  <si>
    <t>Thomas Murphy</t>
  </si>
  <si>
    <t>2024-03-27</t>
  </si>
  <si>
    <t>Rhonda Pena</t>
  </si>
  <si>
    <t>Mark Abbott</t>
  </si>
  <si>
    <t>2019-12-23</t>
  </si>
  <si>
    <t>Nicole Gonzalez</t>
  </si>
  <si>
    <t>Robin Lynch</t>
  </si>
  <si>
    <t>2016-08-25</t>
  </si>
  <si>
    <t>Row Labels</t>
  </si>
  <si>
    <t>Grand Total</t>
  </si>
  <si>
    <t>Count of Employee ID</t>
  </si>
  <si>
    <t>STATUS</t>
  </si>
  <si>
    <t xml:space="preserve">Count </t>
  </si>
  <si>
    <t>number of employee to employee status</t>
  </si>
  <si>
    <t>Sum of Salary</t>
  </si>
  <si>
    <t>salary to department</t>
  </si>
  <si>
    <t>department</t>
  </si>
  <si>
    <t xml:space="preserve"> </t>
  </si>
  <si>
    <t>Count of Full Name</t>
  </si>
  <si>
    <t>Column Labels</t>
  </si>
  <si>
    <t>age range to gender</t>
  </si>
  <si>
    <t>total</t>
  </si>
  <si>
    <t>female</t>
  </si>
  <si>
    <t>male</t>
  </si>
  <si>
    <t>employess number per workstation</t>
  </si>
  <si>
    <t>employee skils</t>
  </si>
  <si>
    <t>Sum of Leave Taken</t>
  </si>
  <si>
    <t>job title</t>
  </si>
  <si>
    <t>REGION</t>
  </si>
  <si>
    <t>NUMBER</t>
  </si>
  <si>
    <t>Average of Performance Rating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</si>
</sst>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1">
    <font>
      <sz val="11"/>
      <color theme="1"/>
      <name val="Calibri"/>
      <family val="2"/>
      <scheme val="minor"/>
    </font>
    <font>
      <sz val="11"/>
      <color theme="1"/>
      <name val="Custom pack"/>
    </font>
    <font>
      <b/>
      <sz val="11"/>
      <color theme="0" tint="-4.9989318521683403E-2"/>
      <name val="Kulim Park"/>
    </font>
    <font>
      <sz val="11"/>
      <color theme="1"/>
      <name val="Kulim Park"/>
    </font>
    <font>
      <sz val="11"/>
      <color theme="0" tint="-4.9989318521683403E-2"/>
      <name val="Kulim Park"/>
    </font>
    <font>
      <sz val="11"/>
      <color theme="0"/>
      <name val="Calibri"/>
      <family val="2"/>
      <scheme val="minor"/>
    </font>
    <font>
      <sz val="10"/>
      <color theme="1"/>
      <name val="Custom pack"/>
    </font>
    <font>
      <sz val="10"/>
      <color theme="0"/>
      <name val="Calibri"/>
      <family val="2"/>
      <scheme val="minor"/>
    </font>
    <font>
      <sz val="11"/>
      <color theme="1"/>
      <name val="Calibri"/>
      <family val="2"/>
      <scheme val="minor"/>
    </font>
    <font>
      <b/>
      <sz val="11"/>
      <color theme="1"/>
      <name val="Calibri"/>
      <family val="2"/>
      <scheme val="minor"/>
    </font>
    <font>
      <b/>
      <sz val="11"/>
      <color theme="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rgb="FF282828"/>
        <bgColor indexed="64"/>
      </patternFill>
    </fill>
    <fill>
      <patternFill patternType="solid">
        <fgColor theme="1"/>
        <bgColor indexed="64"/>
      </patternFill>
    </fill>
    <fill>
      <patternFill patternType="solid">
        <fgColor theme="4" tint="0.79998168889431442"/>
        <bgColor theme="4" tint="0.79998168889431442"/>
      </patternFill>
    </fill>
  </fills>
  <borders count="5">
    <border>
      <left/>
      <right/>
      <top/>
      <bottom/>
      <diagonal/>
    </border>
    <border>
      <left/>
      <right/>
      <top style="thin">
        <color theme="1" tint="0.499984740745262"/>
      </top>
      <bottom style="thin">
        <color theme="1" tint="0.499984740745262"/>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8" fillId="0" borderId="0" applyFont="0" applyFill="0" applyBorder="0" applyAlignment="0" applyProtection="0"/>
  </cellStyleXfs>
  <cellXfs count="19">
    <xf numFmtId="0" fontId="0" fillId="0" borderId="0" xfId="0"/>
    <xf numFmtId="0" fontId="1" fillId="2" borderId="0" xfId="0" applyFont="1" applyFill="1"/>
    <xf numFmtId="0" fontId="2" fillId="3" borderId="0" xfId="0" applyFont="1" applyFill="1" applyAlignment="1">
      <alignment horizontal="center" vertical="center"/>
    </xf>
    <xf numFmtId="0" fontId="3" fillId="0" borderId="0" xfId="0" applyFont="1" applyAlignment="1">
      <alignment horizontal="center" vertical="center"/>
    </xf>
    <xf numFmtId="0" fontId="4" fillId="3" borderId="1" xfId="0"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6" fillId="2" borderId="0" xfId="0" applyFont="1" applyFill="1"/>
    <xf numFmtId="0" fontId="0" fillId="0" borderId="2" xfId="0" applyBorder="1"/>
    <xf numFmtId="0" fontId="9" fillId="5" borderId="3" xfId="0" applyFont="1" applyFill="1" applyBorder="1"/>
    <xf numFmtId="0" fontId="9" fillId="5" borderId="4" xfId="0" applyFont="1" applyFill="1" applyBorder="1" applyAlignment="1">
      <alignment horizontal="left"/>
    </xf>
    <xf numFmtId="9" fontId="9" fillId="0" borderId="0" xfId="1" applyFont="1"/>
    <xf numFmtId="9" fontId="9" fillId="0" borderId="0" xfId="0" applyNumberFormat="1" applyFont="1"/>
    <xf numFmtId="9" fontId="0" fillId="0" borderId="0" xfId="0" applyNumberFormat="1"/>
    <xf numFmtId="164" fontId="0" fillId="0" borderId="0" xfId="0" applyNumberFormat="1"/>
    <xf numFmtId="0" fontId="7" fillId="4" borderId="0" xfId="0" applyFont="1" applyFill="1" applyAlignment="1">
      <alignment horizontal="center"/>
    </xf>
    <xf numFmtId="0" fontId="5" fillId="4" borderId="0" xfId="0" applyFont="1" applyFill="1" applyAlignment="1">
      <alignment horizontal="center"/>
    </xf>
    <xf numFmtId="0" fontId="10" fillId="4" borderId="0" xfId="0" applyFont="1" applyFill="1" applyAlignment="1">
      <alignment horizontal="center"/>
    </xf>
  </cellXfs>
  <cellStyles count="2">
    <cellStyle name="Normal" xfId="0" builtinId="0"/>
    <cellStyle name="Percent" xfId="1" builtinId="5"/>
  </cellStyles>
  <dxfs count="25">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left/>
        <right/>
        <top style="thin">
          <color theme="1" tint="0.499984740745262"/>
        </top>
        <bottom style="thin">
          <color theme="1" tint="0.499984740745262"/>
        </bottom>
        <vertical/>
        <horizontal style="thin">
          <color theme="1" tint="0.499984740745262"/>
        </horizontal>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numFmt numFmtId="0" formatCode="General"/>
      <fill>
        <patternFill patternType="solid">
          <fgColor indexed="64"/>
          <bgColor rgb="FF282828"/>
        </patternFill>
      </fill>
      <alignment horizontal="center" vertical="center" textRotation="0" wrapText="0" indent="0" justifyLastLine="0" shrinkToFit="0" readingOrder="0"/>
      <border diagonalUp="0" diagonalDown="0" outline="0">
        <left/>
        <right/>
        <top style="thin">
          <color theme="1" tint="0.499984740745262"/>
        </top>
        <bottom style="thin">
          <color theme="1" tint="0.499984740745262"/>
        </bottom>
      </border>
    </dxf>
    <dxf>
      <font>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font>
        <b/>
        <strike val="0"/>
        <outline val="0"/>
        <shadow val="0"/>
        <u val="none"/>
        <vertAlign val="baseline"/>
        <sz val="11"/>
        <color theme="0" tint="-4.9989318521683403E-2"/>
        <name val="Kulim Park"/>
        <scheme val="none"/>
      </font>
      <fill>
        <patternFill patternType="solid">
          <fgColor indexed="64"/>
          <bgColor rgb="FF282828"/>
        </patternFill>
      </fill>
      <alignment horizontal="center" vertical="center" textRotation="0" wrapText="0" indent="0" justifyLastLine="0" shrinkToFit="0" readingOrder="0"/>
    </dxf>
    <dxf>
      <numFmt numFmtId="164" formatCode="0.0"/>
    </dxf>
    <dxf>
      <fill>
        <patternFill>
          <fgColor theme="1" tint="0.14996795556505021"/>
          <bgColor theme="1" tint="0.14996795556505021"/>
        </patternFill>
      </fill>
    </dxf>
  </dxfs>
  <tableStyles count="1" defaultTableStyle="TableStyleMedium2" defaultPivotStyle="PivotStyleLight16">
    <tableStyle name="MINE" pivot="0" table="0" count="2">
      <tableStyleElement type="wholeTable" dxfId="24"/>
    </tableStyle>
  </tableStyles>
  <colors>
    <mruColors>
      <color rgb="FF000000"/>
      <color rgb="FF0F0F0F"/>
      <color rgb="FF1D1D1D"/>
    </mruColors>
  </colors>
  <extLst>
    <ext xmlns:x14="http://schemas.microsoft.com/office/spreadsheetml/2009/9/main" uri="{46F421CA-312F-682f-3DD2-61675219B42D}">
      <x14:dxfs count="1">
        <dxf>
          <fill>
            <patternFill>
              <fgColor rgb="FFFFFF00"/>
              <bgColor rgb="FFFFFF00"/>
            </patternFill>
          </fill>
        </dxf>
      </x14:dxfs>
    </ext>
    <ext xmlns:x14="http://schemas.microsoft.com/office/spreadsheetml/2009/9/main" uri="{EB79DEF2-80B8-43e5-95BD-54CBDDF9020C}">
      <x14:slicerStyles defaultSlicerStyle="SlicerStyleLight1">
        <x14:slicerStyle name="MINE">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r>
              <a:rPr lang="en-US" b="1"/>
              <a:t>employee</a:t>
            </a:r>
            <a:r>
              <a:rPr lang="en-US" b="1" baseline="0"/>
              <a:t> status</a:t>
            </a:r>
            <a:endParaRPr lang="en-US" b="1"/>
          </a:p>
        </c:rich>
      </c:tx>
      <c:layout>
        <c:manualLayout>
          <c:xMode val="edge"/>
          <c:yMode val="edge"/>
          <c:x val="7.8155125947258781E-3"/>
          <c:y val="4.0764358469571174E-2"/>
        </c:manualLayout>
      </c:layout>
      <c:overlay val="0"/>
      <c:spPr>
        <a:solidFill>
          <a:schemeClr val="bg1"/>
        </a:solidFill>
        <a:ln>
          <a:noFill/>
        </a:ln>
        <a:effectLst/>
      </c:spPr>
      <c:txPr>
        <a:bodyPr rot="0" spcFirstLastPara="1" vertOverflow="ellipsis" vert="horz" wrap="square" anchor="t"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830109828504447"/>
          <c:y val="0.1115277777777778"/>
          <c:w val="0.58546925566343044"/>
          <c:h val="0.83754629629629629"/>
        </c:manualLayout>
      </c:layout>
      <c:pieChart>
        <c:varyColors val="1"/>
        <c:ser>
          <c:idx val="0"/>
          <c:order val="0"/>
          <c:explosion val="3"/>
          <c:dPt>
            <c:idx val="0"/>
            <c:bubble3D val="0"/>
            <c:spPr>
              <a:solidFill>
                <a:srgbClr val="92D050"/>
              </a:solidFill>
              <a:ln w="19050">
                <a:solidFill>
                  <a:schemeClr val="lt1"/>
                </a:solidFill>
              </a:ln>
              <a:effectLst/>
            </c:spPr>
          </c:dPt>
          <c:dPt>
            <c:idx val="1"/>
            <c:bubble3D val="0"/>
            <c:spPr>
              <a:solidFill>
                <a:srgbClr val="FFFF00"/>
              </a:solidFill>
              <a:ln w="19050">
                <a:solidFill>
                  <a:schemeClr val="lt1"/>
                </a:solidFill>
              </a:ln>
              <a:effectLst/>
            </c:spPr>
          </c:dPt>
          <c:dPt>
            <c:idx val="2"/>
            <c:bubble3D val="0"/>
            <c:spPr>
              <a:solidFill>
                <a:srgbClr val="C00000"/>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Sheet4!$A$10:$A$12</c:f>
              <c:strCache>
                <c:ptCount val="3"/>
                <c:pt idx="0">
                  <c:v>Contract</c:v>
                </c:pt>
                <c:pt idx="1">
                  <c:v>Full-Time</c:v>
                </c:pt>
                <c:pt idx="2">
                  <c:v>Part-Time</c:v>
                </c:pt>
              </c:strCache>
            </c:strRef>
          </c:cat>
          <c:val>
            <c:numRef>
              <c:f>Sheet4!$B$10:$B$12</c:f>
              <c:numCache>
                <c:formatCode>General</c:formatCode>
                <c:ptCount val="3"/>
                <c:pt idx="0">
                  <c:v>17</c:v>
                </c:pt>
                <c:pt idx="1">
                  <c:v>20</c:v>
                </c:pt>
                <c:pt idx="2">
                  <c:v>13</c:v>
                </c:pt>
              </c:numCache>
            </c:numRef>
          </c:val>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manualLayout>
          <c:layoutTarget val="inner"/>
          <c:xMode val="edge"/>
          <c:yMode val="edge"/>
          <c:x val="1.6136347474742952E-2"/>
          <c:y val="7.6075751645224191E-2"/>
          <c:w val="0.95330798342830669"/>
          <c:h val="0.42865097412192155"/>
        </c:manualLayout>
      </c:layout>
      <c:barChart>
        <c:barDir val="col"/>
        <c:grouping val="clustered"/>
        <c:varyColors val="0"/>
        <c:ser>
          <c:idx val="0"/>
          <c:order val="0"/>
          <c:tx>
            <c:strRef>
              <c:f>Sheet4!$E$10</c:f>
              <c:strCache>
                <c:ptCount val="1"/>
                <c:pt idx="0">
                  <c:v>Sum of Salary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Sheet4!$D$11:$D$16</c:f>
              <c:strCache>
                <c:ptCount val="6"/>
                <c:pt idx="0">
                  <c:v>Analyst</c:v>
                </c:pt>
                <c:pt idx="1">
                  <c:v>Designer</c:v>
                </c:pt>
                <c:pt idx="2">
                  <c:v>Developer</c:v>
                </c:pt>
                <c:pt idx="3">
                  <c:v>HR Specialist</c:v>
                </c:pt>
                <c:pt idx="4">
                  <c:v>Manager</c:v>
                </c:pt>
                <c:pt idx="5">
                  <c:v>Grand Total</c:v>
                </c:pt>
              </c:strCache>
            </c:strRef>
          </c:cat>
          <c:val>
            <c:numRef>
              <c:f>Sheet4!$E$11:$E$16</c:f>
              <c:numCache>
                <c:formatCode>General</c:formatCode>
                <c:ptCount val="6"/>
                <c:pt idx="0">
                  <c:v>167041</c:v>
                </c:pt>
                <c:pt idx="1">
                  <c:v>613842</c:v>
                </c:pt>
                <c:pt idx="2">
                  <c:v>633594</c:v>
                </c:pt>
                <c:pt idx="3">
                  <c:v>959266</c:v>
                </c:pt>
                <c:pt idx="4">
                  <c:v>731170</c:v>
                </c:pt>
                <c:pt idx="5">
                  <c:v>3104913</c:v>
                </c:pt>
              </c:numCache>
            </c:numRef>
          </c:val>
        </c:ser>
        <c:dLbls>
          <c:showLegendKey val="0"/>
          <c:showVal val="0"/>
          <c:showCatName val="0"/>
          <c:showSerName val="0"/>
          <c:showPercent val="0"/>
          <c:showBubbleSize val="0"/>
        </c:dLbls>
        <c:gapWidth val="100"/>
        <c:overlap val="-24"/>
        <c:axId val="-228377520"/>
        <c:axId val="-228376976"/>
      </c:barChart>
      <c:catAx>
        <c:axId val="-22837752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28376976"/>
        <c:crosses val="autoZero"/>
        <c:auto val="1"/>
        <c:lblAlgn val="ctr"/>
        <c:lblOffset val="100"/>
        <c:noMultiLvlLbl val="0"/>
      </c:catAx>
      <c:valAx>
        <c:axId val="-228376976"/>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228377520"/>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board.xlsx]Sheet4!PivotTable1</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tx1">
                <a:lumMod val="65000"/>
                <a:lumOff val="3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2.0580917094904588E-2"/>
          <c:y val="3.9704085646348856E-2"/>
          <c:w val="0.95290069991251092"/>
          <c:h val="0.80805303191000588"/>
        </c:manualLayout>
      </c:layout>
      <c:barChart>
        <c:barDir val="col"/>
        <c:grouping val="clustered"/>
        <c:varyColors val="0"/>
        <c:ser>
          <c:idx val="0"/>
          <c:order val="0"/>
          <c:tx>
            <c:strRef>
              <c:f>Sheet4!$M$2:$M$3</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Sheet4!$L$4:$L$9</c:f>
              <c:strCache>
                <c:ptCount val="5"/>
                <c:pt idx="0">
                  <c:v>18-25</c:v>
                </c:pt>
                <c:pt idx="1">
                  <c:v>26-35</c:v>
                </c:pt>
                <c:pt idx="2">
                  <c:v>36-45</c:v>
                </c:pt>
                <c:pt idx="3">
                  <c:v>46-55</c:v>
                </c:pt>
                <c:pt idx="4">
                  <c:v>56 &lt;</c:v>
                </c:pt>
              </c:strCache>
            </c:strRef>
          </c:cat>
          <c:val>
            <c:numRef>
              <c:f>Sheet4!$M$4:$M$9</c:f>
              <c:numCache>
                <c:formatCode>General</c:formatCode>
                <c:ptCount val="5"/>
                <c:pt idx="0">
                  <c:v>6</c:v>
                </c:pt>
                <c:pt idx="1">
                  <c:v>7</c:v>
                </c:pt>
                <c:pt idx="2">
                  <c:v>5</c:v>
                </c:pt>
                <c:pt idx="3">
                  <c:v>4</c:v>
                </c:pt>
                <c:pt idx="4">
                  <c:v>4</c:v>
                </c:pt>
              </c:numCache>
            </c:numRef>
          </c:val>
        </c:ser>
        <c:ser>
          <c:idx val="1"/>
          <c:order val="1"/>
          <c:tx>
            <c:strRef>
              <c:f>Sheet4!$N$2:$N$3</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Sheet4!$L$4:$L$9</c:f>
              <c:strCache>
                <c:ptCount val="5"/>
                <c:pt idx="0">
                  <c:v>18-25</c:v>
                </c:pt>
                <c:pt idx="1">
                  <c:v>26-35</c:v>
                </c:pt>
                <c:pt idx="2">
                  <c:v>36-45</c:v>
                </c:pt>
                <c:pt idx="3">
                  <c:v>46-55</c:v>
                </c:pt>
                <c:pt idx="4">
                  <c:v>56 &lt;</c:v>
                </c:pt>
              </c:strCache>
            </c:strRef>
          </c:cat>
          <c:val>
            <c:numRef>
              <c:f>Sheet4!$N$4:$N$9</c:f>
              <c:numCache>
                <c:formatCode>General</c:formatCode>
                <c:ptCount val="5"/>
                <c:pt idx="0">
                  <c:v>3</c:v>
                </c:pt>
                <c:pt idx="1">
                  <c:v>6</c:v>
                </c:pt>
                <c:pt idx="2">
                  <c:v>7</c:v>
                </c:pt>
                <c:pt idx="3">
                  <c:v>3</c:v>
                </c:pt>
                <c:pt idx="4">
                  <c:v>5</c:v>
                </c:pt>
              </c:numCache>
            </c:numRef>
          </c:val>
        </c:ser>
        <c:dLbls>
          <c:showLegendKey val="0"/>
          <c:showVal val="0"/>
          <c:showCatName val="0"/>
          <c:showSerName val="0"/>
          <c:showPercent val="0"/>
          <c:showBubbleSize val="0"/>
        </c:dLbls>
        <c:gapWidth val="219"/>
        <c:overlap val="-27"/>
        <c:axId val="-228376432"/>
        <c:axId val="-229160592"/>
      </c:barChart>
      <c:catAx>
        <c:axId val="-228376432"/>
        <c:scaling>
          <c:orientation val="minMax"/>
        </c:scaling>
        <c:delete val="0"/>
        <c:axPos val="b"/>
        <c:numFmt formatCode="General" sourceLinked="1"/>
        <c:majorTickMark val="none"/>
        <c:minorTickMark val="none"/>
        <c:tickLblPos val="nextTo"/>
        <c:spPr>
          <a:solidFill>
            <a:schemeClr val="tx1">
              <a:lumMod val="65000"/>
              <a:lumOff val="3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29160592"/>
        <c:crosses val="autoZero"/>
        <c:auto val="1"/>
        <c:lblAlgn val="ctr"/>
        <c:lblOffset val="100"/>
        <c:noMultiLvlLbl val="0"/>
      </c:catAx>
      <c:valAx>
        <c:axId val="-229160592"/>
        <c:scaling>
          <c:orientation val="minMax"/>
        </c:scaling>
        <c:delete val="1"/>
        <c:axPos val="l"/>
        <c:numFmt formatCode="General" sourceLinked="1"/>
        <c:majorTickMark val="none"/>
        <c:minorTickMark val="none"/>
        <c:tickLblPos val="nextTo"/>
        <c:crossAx val="-228376432"/>
        <c:crosses val="autoZero"/>
        <c:crossBetween val="between"/>
      </c:valAx>
      <c:spPr>
        <a:noFill/>
        <a:ln>
          <a:noFill/>
        </a:ln>
        <a:effectLst/>
      </c:spPr>
    </c:plotArea>
    <c:legend>
      <c:legendPos val="r"/>
      <c:layout>
        <c:manualLayout>
          <c:xMode val="edge"/>
          <c:yMode val="edge"/>
          <c:x val="0.71475179864926952"/>
          <c:y val="6.8814479425511943E-2"/>
          <c:w val="0.27013709779422684"/>
          <c:h val="0.24657713920170835"/>
        </c:manualLayout>
      </c:layout>
      <c:overlay val="0"/>
      <c:spPr>
        <a:solidFill>
          <a:schemeClr val="tx1">
            <a:lumMod val="65000"/>
            <a:lumOff val="35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solidFill>
      <a:schemeClr val="tx1">
        <a:lumMod val="75000"/>
        <a:lumOff val="2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498611111111102E-2"/>
          <c:y val="7.7013888888888896E-2"/>
          <c:w val="0.93364930555555559"/>
          <c:h val="0.76367454068241469"/>
        </c:manualLayout>
      </c:layout>
      <c:barChart>
        <c:barDir val="bar"/>
        <c:grouping val="percentStacked"/>
        <c:varyColors val="0"/>
        <c:ser>
          <c:idx val="0"/>
          <c:order val="0"/>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Sheet4!$N$9</c:f>
              <c:numCache>
                <c:formatCode>General</c:formatCode>
                <c:ptCount val="1"/>
                <c:pt idx="0">
                  <c:v>24</c:v>
                </c:pt>
              </c:numCache>
            </c:numRef>
          </c:val>
        </c:ser>
        <c:ser>
          <c:idx val="1"/>
          <c:order val="1"/>
          <c:spPr>
            <a:solidFill>
              <a:schemeClr val="tx1">
                <a:lumMod val="65000"/>
                <a:lumOff val="35000"/>
              </a:schemeClr>
            </a:solidFill>
            <a:ln>
              <a:noFill/>
            </a:ln>
            <a:effectLst/>
          </c:spPr>
          <c:invertIfNegative val="0"/>
          <c:dPt>
            <c:idx val="0"/>
            <c:invertIfNegative val="0"/>
            <c:bubble3D val="0"/>
            <c:spPr>
              <a:solidFill>
                <a:schemeClr val="tx1">
                  <a:lumMod val="65000"/>
                  <a:lumOff val="35000"/>
                </a:schemeClr>
              </a:solidFill>
              <a:ln>
                <a:noFill/>
              </a:ln>
              <a:effectLst/>
            </c:spPr>
          </c:dPt>
          <c:dLbls>
            <c:delete val="1"/>
          </c:dLbls>
          <c:val>
            <c:numRef>
              <c:f>Sheet4!$O$9</c:f>
              <c:numCache>
                <c:formatCode>General</c:formatCode>
                <c:ptCount val="1"/>
                <c:pt idx="0">
                  <c:v>50</c:v>
                </c:pt>
              </c:numCache>
            </c:numRef>
          </c:val>
        </c:ser>
        <c:dLbls>
          <c:dLblPos val="ctr"/>
          <c:showLegendKey val="0"/>
          <c:showVal val="1"/>
          <c:showCatName val="0"/>
          <c:showSerName val="0"/>
          <c:showPercent val="0"/>
          <c:showBubbleSize val="0"/>
        </c:dLbls>
        <c:gapWidth val="150"/>
        <c:overlap val="100"/>
        <c:axId val="-42559136"/>
        <c:axId val="-42564576"/>
      </c:barChart>
      <c:catAx>
        <c:axId val="-42559136"/>
        <c:scaling>
          <c:orientation val="minMax"/>
        </c:scaling>
        <c:delete val="1"/>
        <c:axPos val="l"/>
        <c:numFmt formatCode="General" sourceLinked="1"/>
        <c:majorTickMark val="none"/>
        <c:minorTickMark val="none"/>
        <c:tickLblPos val="nextTo"/>
        <c:crossAx val="-42564576"/>
        <c:crosses val="autoZero"/>
        <c:auto val="1"/>
        <c:lblAlgn val="ctr"/>
        <c:lblOffset val="100"/>
        <c:noMultiLvlLbl val="0"/>
      </c:catAx>
      <c:valAx>
        <c:axId val="-42564576"/>
        <c:scaling>
          <c:orientation val="minMax"/>
        </c:scaling>
        <c:delete val="1"/>
        <c:axPos val="b"/>
        <c:numFmt formatCode="0%" sourceLinked="1"/>
        <c:majorTickMark val="none"/>
        <c:minorTickMark val="none"/>
        <c:tickLblPos val="nextTo"/>
        <c:crossAx val="-42559136"/>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0951388888888895E-3"/>
          <c:y val="4.6988888888888886E-2"/>
          <c:w val="0.95962708333333335"/>
          <c:h val="0.93518518518518523"/>
        </c:manualLayout>
      </c:layout>
      <c:barChart>
        <c:barDir val="bar"/>
        <c:grouping val="percentStacked"/>
        <c:varyColors val="0"/>
        <c:ser>
          <c:idx val="0"/>
          <c:order val="0"/>
          <c:spPr>
            <a:solidFill>
              <a:schemeClr val="accent1"/>
            </a:solidFill>
            <a:ln>
              <a:noFill/>
            </a:ln>
            <a:effectLst/>
          </c:spPr>
          <c:invertIfNegative val="0"/>
          <c:dLbls>
            <c:dLbl>
              <c:idx val="0"/>
              <c:spPr>
                <a:solidFill>
                  <a:srgbClr val="FFFF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Sheet4!$N$10</c:f>
              <c:numCache>
                <c:formatCode>0%</c:formatCode>
                <c:ptCount val="1"/>
                <c:pt idx="0">
                  <c:v>0</c:v>
                </c:pt>
              </c:numCache>
            </c:numRef>
          </c:val>
        </c:ser>
        <c:ser>
          <c:idx val="1"/>
          <c:order val="1"/>
          <c:spPr>
            <a:solidFill>
              <a:schemeClr val="tx1">
                <a:lumMod val="65000"/>
                <a:lumOff val="35000"/>
              </a:schemeClr>
            </a:solidFill>
            <a:ln>
              <a:noFill/>
            </a:ln>
            <a:effectLst/>
          </c:spPr>
          <c:invertIfNegative val="0"/>
          <c:val>
            <c:numRef>
              <c:f>Sheet4!$O$10</c:f>
              <c:numCache>
                <c:formatCode>0%</c:formatCode>
                <c:ptCount val="1"/>
                <c:pt idx="0">
                  <c:v>0</c:v>
                </c:pt>
              </c:numCache>
            </c:numRef>
          </c:val>
        </c:ser>
        <c:dLbls>
          <c:showLegendKey val="0"/>
          <c:showVal val="0"/>
          <c:showCatName val="0"/>
          <c:showSerName val="0"/>
          <c:showPercent val="0"/>
          <c:showBubbleSize val="0"/>
        </c:dLbls>
        <c:gapWidth val="150"/>
        <c:overlap val="100"/>
        <c:axId val="-42564032"/>
        <c:axId val="-42568928"/>
      </c:barChart>
      <c:catAx>
        <c:axId val="-42564032"/>
        <c:scaling>
          <c:orientation val="minMax"/>
        </c:scaling>
        <c:delete val="1"/>
        <c:axPos val="l"/>
        <c:numFmt formatCode="General" sourceLinked="1"/>
        <c:majorTickMark val="none"/>
        <c:minorTickMark val="none"/>
        <c:tickLblPos val="nextTo"/>
        <c:crossAx val="-42568928"/>
        <c:crosses val="autoZero"/>
        <c:auto val="1"/>
        <c:lblAlgn val="ctr"/>
        <c:lblOffset val="100"/>
        <c:noMultiLvlLbl val="0"/>
      </c:catAx>
      <c:valAx>
        <c:axId val="-42568928"/>
        <c:scaling>
          <c:orientation val="minMax"/>
        </c:scaling>
        <c:delete val="1"/>
        <c:axPos val="b"/>
        <c:numFmt formatCode="0%" sourceLinked="1"/>
        <c:majorTickMark val="none"/>
        <c:minorTickMark val="none"/>
        <c:tickLblPos val="nextTo"/>
        <c:crossAx val="-425640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369624453478097E-3"/>
          <c:y val="2.653858267716535E-2"/>
          <c:w val="0.98939007697528669"/>
          <c:h val="0.90699074074074071"/>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rgbClr val="FFFF00"/>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Sheet4!$N$11</c:f>
              <c:numCache>
                <c:formatCode>0%</c:formatCode>
                <c:ptCount val="1"/>
                <c:pt idx="0">
                  <c:v>0</c:v>
                </c:pt>
              </c:numCache>
            </c:numRef>
          </c:val>
        </c:ser>
        <c:ser>
          <c:idx val="1"/>
          <c:order val="1"/>
          <c:spPr>
            <a:solidFill>
              <a:schemeClr val="tx1">
                <a:lumMod val="65000"/>
                <a:lumOff val="35000"/>
              </a:schemeClr>
            </a:solidFill>
            <a:ln>
              <a:noFill/>
            </a:ln>
            <a:effectLst/>
          </c:spPr>
          <c:invertIfNegative val="0"/>
          <c:val>
            <c:numRef>
              <c:f>Sheet4!$O$11</c:f>
              <c:numCache>
                <c:formatCode>0%</c:formatCode>
                <c:ptCount val="1"/>
                <c:pt idx="0">
                  <c:v>0</c:v>
                </c:pt>
              </c:numCache>
            </c:numRef>
          </c:val>
        </c:ser>
        <c:dLbls>
          <c:showLegendKey val="0"/>
          <c:showVal val="0"/>
          <c:showCatName val="0"/>
          <c:showSerName val="0"/>
          <c:showPercent val="0"/>
          <c:showBubbleSize val="0"/>
        </c:dLbls>
        <c:gapWidth val="182"/>
        <c:overlap val="100"/>
        <c:axId val="-42555872"/>
        <c:axId val="-42561856"/>
      </c:barChart>
      <c:catAx>
        <c:axId val="-42555872"/>
        <c:scaling>
          <c:orientation val="minMax"/>
        </c:scaling>
        <c:delete val="1"/>
        <c:axPos val="l"/>
        <c:numFmt formatCode="General" sourceLinked="1"/>
        <c:majorTickMark val="none"/>
        <c:minorTickMark val="none"/>
        <c:tickLblPos val="nextTo"/>
        <c:crossAx val="-42561856"/>
        <c:crosses val="autoZero"/>
        <c:auto val="1"/>
        <c:lblAlgn val="ctr"/>
        <c:lblOffset val="100"/>
        <c:noMultiLvlLbl val="0"/>
      </c:catAx>
      <c:valAx>
        <c:axId val="-42561856"/>
        <c:scaling>
          <c:orientation val="minMax"/>
        </c:scaling>
        <c:delete val="1"/>
        <c:axPos val="b"/>
        <c:numFmt formatCode="0%" sourceLinked="1"/>
        <c:majorTickMark val="none"/>
        <c:minorTickMark val="none"/>
        <c:tickLblPos val="nextTo"/>
        <c:crossAx val="-42555872"/>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164750957854405E-2"/>
          <c:y val="4.5396825396825387E-2"/>
          <c:w val="0.98783524904214559"/>
          <c:h val="0.8588095238095238"/>
        </c:manualLayout>
      </c:layout>
      <c:doughnutChart>
        <c:varyColors val="1"/>
        <c:ser>
          <c:idx val="0"/>
          <c:order val="0"/>
          <c:dPt>
            <c:idx val="0"/>
            <c:bubble3D val="0"/>
            <c:spPr>
              <a:solidFill>
                <a:schemeClr val="accent2">
                  <a:lumMod val="75000"/>
                </a:schemeClr>
              </a:solidFill>
              <a:ln w="19050">
                <a:solidFill>
                  <a:schemeClr val="lt1"/>
                </a:solidFill>
              </a:ln>
              <a:effectLst/>
            </c:spPr>
          </c:dPt>
          <c:dPt>
            <c:idx val="1"/>
            <c:bubble3D val="0"/>
            <c:spPr>
              <a:solidFill>
                <a:schemeClr val="tx1">
                  <a:lumMod val="65000"/>
                  <a:lumOff val="35000"/>
                </a:schemeClr>
              </a:solidFill>
              <a:ln w="19050">
                <a:solidFill>
                  <a:schemeClr val="lt1"/>
                </a:solidFill>
              </a:ln>
              <a:effectLst/>
            </c:spPr>
          </c:dPt>
          <c:val>
            <c:numRef>
              <c:f>Sheet4!$I$19:$J$19</c:f>
              <c:numCache>
                <c:formatCode>0%</c:formatCode>
                <c:ptCount val="2"/>
                <c:pt idx="0">
                  <c:v>0.52</c:v>
                </c:pt>
                <c:pt idx="1">
                  <c:v>0.48</c:v>
                </c:pt>
              </c:numCache>
            </c:numRef>
          </c:val>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7.5634920634920638E-2"/>
          <c:w val="1"/>
          <c:h val="0.8538095238095238"/>
        </c:manualLayout>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tx1">
                  <a:lumMod val="65000"/>
                  <a:lumOff val="35000"/>
                </a:schemeClr>
              </a:solidFill>
              <a:ln w="19050">
                <a:solidFill>
                  <a:schemeClr val="lt1"/>
                </a:solidFill>
              </a:ln>
              <a:effectLst/>
            </c:spPr>
          </c:dPt>
          <c:val>
            <c:numRef>
              <c:f>Sheet4!$I$20:$J$20</c:f>
              <c:numCache>
                <c:formatCode>0%</c:formatCode>
                <c:ptCount val="2"/>
                <c:pt idx="0">
                  <c:v>0.48</c:v>
                </c:pt>
                <c:pt idx="1">
                  <c:v>0.52</c:v>
                </c:pt>
              </c:numCache>
            </c:numRef>
          </c:val>
        </c:ser>
        <c:dLbls>
          <c:showLegendKey val="0"/>
          <c:showVal val="0"/>
          <c:showCatName val="0"/>
          <c:showSerName val="0"/>
          <c:showPercent val="0"/>
          <c:showBubbleSize val="0"/>
          <c:showLeaderLines val="1"/>
        </c:dLbls>
        <c:firstSliceAng val="0"/>
        <c:holeSize val="70"/>
      </c:doughnutChart>
      <c:spPr>
        <a:solidFill>
          <a:schemeClr val="tx1">
            <a:lumMod val="65000"/>
            <a:lumOff val="35000"/>
          </a:schemeClr>
        </a:solid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5553632955626688E-3"/>
          <c:y val="2.3564787674393205E-2"/>
          <c:w val="0.96388888888888891"/>
          <c:h val="0.56037774484522662"/>
        </c:manualLayout>
      </c:layout>
      <c:barChart>
        <c:barDir val="col"/>
        <c:grouping val="clustered"/>
        <c:varyColors val="0"/>
        <c:ser>
          <c:idx val="0"/>
          <c:order val="0"/>
          <c:tx>
            <c:strRef>
              <c:f>Sheet4!$D$28</c:f>
              <c:strCache>
                <c:ptCount val="1"/>
                <c:pt idx="0">
                  <c:v>Analyst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Sheet4!$E$28</c:f>
              <c:numCache>
                <c:formatCode>General</c:formatCode>
                <c:ptCount val="1"/>
                <c:pt idx="0">
                  <c:v>28</c:v>
                </c:pt>
              </c:numCache>
            </c:numRef>
          </c:val>
        </c:ser>
        <c:ser>
          <c:idx val="1"/>
          <c:order val="1"/>
          <c:tx>
            <c:strRef>
              <c:f>Sheet4!$D$29</c:f>
              <c:strCache>
                <c:ptCount val="1"/>
                <c:pt idx="0">
                  <c:v>Designer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Sheet4!$E$29</c:f>
              <c:numCache>
                <c:formatCode>General</c:formatCode>
                <c:ptCount val="1"/>
                <c:pt idx="0">
                  <c:v>110</c:v>
                </c:pt>
              </c:numCache>
            </c:numRef>
          </c:val>
        </c:ser>
        <c:ser>
          <c:idx val="2"/>
          <c:order val="2"/>
          <c:tx>
            <c:strRef>
              <c:f>Sheet4!$D$30</c:f>
              <c:strCache>
                <c:ptCount val="1"/>
                <c:pt idx="0">
                  <c:v>Developer</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Sheet4!$E$30</c:f>
              <c:numCache>
                <c:formatCode>General</c:formatCode>
                <c:ptCount val="1"/>
                <c:pt idx="0">
                  <c:v>104</c:v>
                </c:pt>
              </c:numCache>
            </c:numRef>
          </c:val>
        </c:ser>
        <c:ser>
          <c:idx val="3"/>
          <c:order val="3"/>
          <c:tx>
            <c:strRef>
              <c:f>Sheet4!$D$31</c:f>
              <c:strCache>
                <c:ptCount val="1"/>
                <c:pt idx="0">
                  <c:v>HR Specialist</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Sheet4!$E$31</c:f>
              <c:numCache>
                <c:formatCode>General</c:formatCode>
                <c:ptCount val="1"/>
                <c:pt idx="0">
                  <c:v>123</c:v>
                </c:pt>
              </c:numCache>
            </c:numRef>
          </c:val>
        </c:ser>
        <c:ser>
          <c:idx val="4"/>
          <c:order val="4"/>
          <c:tx>
            <c:strRef>
              <c:f>Sheet4!$D$32</c:f>
              <c:strCache>
                <c:ptCount val="1"/>
                <c:pt idx="0">
                  <c:v>Manager</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Sheet4!$E$27</c:f>
              <c:strCache>
                <c:ptCount val="1"/>
                <c:pt idx="0">
                  <c:v>Sum of Leave Taken</c:v>
                </c:pt>
              </c:strCache>
            </c:strRef>
          </c:cat>
          <c:val>
            <c:numRef>
              <c:f>Sheet4!$E$32</c:f>
              <c:numCache>
                <c:formatCode>General</c:formatCode>
                <c:ptCount val="1"/>
                <c:pt idx="0">
                  <c:v>122</c:v>
                </c:pt>
              </c:numCache>
            </c:numRef>
          </c:val>
        </c:ser>
        <c:dLbls>
          <c:dLblPos val="ctr"/>
          <c:showLegendKey val="0"/>
          <c:showVal val="1"/>
          <c:showCatName val="0"/>
          <c:showSerName val="0"/>
          <c:showPercent val="0"/>
          <c:showBubbleSize val="0"/>
        </c:dLbls>
        <c:gapWidth val="219"/>
        <c:overlap val="-27"/>
        <c:axId val="-42562400"/>
        <c:axId val="-42568384"/>
      </c:barChart>
      <c:catAx>
        <c:axId val="-42562400"/>
        <c:scaling>
          <c:orientation val="minMax"/>
        </c:scaling>
        <c:delete val="1"/>
        <c:axPos val="b"/>
        <c:numFmt formatCode="General" sourceLinked="1"/>
        <c:majorTickMark val="none"/>
        <c:minorTickMark val="none"/>
        <c:tickLblPos val="nextTo"/>
        <c:crossAx val="-42568384"/>
        <c:crosses val="autoZero"/>
        <c:auto val="1"/>
        <c:lblAlgn val="ctr"/>
        <c:lblOffset val="100"/>
        <c:noMultiLvlLbl val="0"/>
      </c:catAx>
      <c:valAx>
        <c:axId val="-42568384"/>
        <c:scaling>
          <c:orientation val="minMax"/>
        </c:scaling>
        <c:delete val="1"/>
        <c:axPos val="l"/>
        <c:majorGridlines>
          <c:spPr>
            <a:ln w="9525" cap="flat" cmpd="sng" algn="ctr">
              <a:solidFill>
                <a:schemeClr val="tx1">
                  <a:lumMod val="15000"/>
                  <a:lumOff val="85000"/>
                </a:schemeClr>
              </a:solidFill>
              <a:prstDash val="sysDot"/>
              <a:round/>
            </a:ln>
            <a:effectLst/>
          </c:spPr>
        </c:majorGridlines>
        <c:numFmt formatCode="General" sourceLinked="1"/>
        <c:majorTickMark val="none"/>
        <c:minorTickMark val="none"/>
        <c:tickLblPos val="nextTo"/>
        <c:crossAx val="-4256240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888888888888888E-2"/>
          <c:y val="9.7222222222222224E-2"/>
          <c:w val="0.91988888888888887"/>
          <c:h val="0.72754405547161694"/>
        </c:manualLayout>
      </c:layout>
      <c:barChart>
        <c:barDir val="bar"/>
        <c:grouping val="clustered"/>
        <c:varyColors val="0"/>
        <c:ser>
          <c:idx val="0"/>
          <c:order val="0"/>
          <c:tx>
            <c:strRef>
              <c:f>Sheet4!$G$37</c:f>
              <c:strCache>
                <c:ptCount val="1"/>
                <c:pt idx="0">
                  <c:v>Central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Sheet4!$H$37</c:f>
              <c:numCache>
                <c:formatCode>General</c:formatCode>
                <c:ptCount val="1"/>
                <c:pt idx="0">
                  <c:v>14</c:v>
                </c:pt>
              </c:numCache>
            </c:numRef>
          </c:val>
        </c:ser>
        <c:ser>
          <c:idx val="1"/>
          <c:order val="1"/>
          <c:tx>
            <c:strRef>
              <c:f>Sheet4!$G$38</c:f>
              <c:strCache>
                <c:ptCount val="1"/>
                <c:pt idx="0">
                  <c:v>East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Sheet4!$H$38</c:f>
              <c:numCache>
                <c:formatCode>General</c:formatCode>
                <c:ptCount val="1"/>
                <c:pt idx="0">
                  <c:v>10</c:v>
                </c:pt>
              </c:numCache>
            </c:numRef>
          </c:val>
        </c:ser>
        <c:ser>
          <c:idx val="2"/>
          <c:order val="2"/>
          <c:tx>
            <c:strRef>
              <c:f>Sheet4!$G$39</c:f>
              <c:strCache>
                <c:ptCount val="1"/>
                <c:pt idx="0">
                  <c:v>North</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Sheet4!$H$39</c:f>
              <c:numCache>
                <c:formatCode>General</c:formatCode>
                <c:ptCount val="1"/>
                <c:pt idx="0">
                  <c:v>7</c:v>
                </c:pt>
              </c:numCache>
            </c:numRef>
          </c:val>
        </c:ser>
        <c:ser>
          <c:idx val="3"/>
          <c:order val="3"/>
          <c:tx>
            <c:strRef>
              <c:f>Sheet4!$G$40</c:f>
              <c:strCache>
                <c:ptCount val="1"/>
                <c:pt idx="0">
                  <c:v>South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Sheet4!$H$40</c:f>
              <c:numCache>
                <c:formatCode>General</c:formatCode>
                <c:ptCount val="1"/>
                <c:pt idx="0">
                  <c:v>10</c:v>
                </c:pt>
              </c:numCache>
            </c:numRef>
          </c:val>
        </c:ser>
        <c:ser>
          <c:idx val="4"/>
          <c:order val="4"/>
          <c:tx>
            <c:strRef>
              <c:f>Sheet4!$G$41</c:f>
              <c:strCache>
                <c:ptCount val="1"/>
                <c:pt idx="0">
                  <c:v>West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Sheet4!$H$41</c:f>
              <c:numCache>
                <c:formatCode>General</c:formatCode>
                <c:ptCount val="1"/>
                <c:pt idx="0">
                  <c:v>9</c:v>
                </c:pt>
              </c:numCache>
            </c:numRef>
          </c:val>
        </c:ser>
        <c:dLbls>
          <c:dLblPos val="inEnd"/>
          <c:showLegendKey val="0"/>
          <c:showVal val="1"/>
          <c:showCatName val="0"/>
          <c:showSerName val="0"/>
          <c:showPercent val="0"/>
          <c:showBubbleSize val="0"/>
        </c:dLbls>
        <c:gapWidth val="182"/>
        <c:axId val="-42561312"/>
        <c:axId val="-42570560"/>
      </c:barChart>
      <c:catAx>
        <c:axId val="-42561312"/>
        <c:scaling>
          <c:orientation val="minMax"/>
        </c:scaling>
        <c:delete val="1"/>
        <c:axPos val="l"/>
        <c:numFmt formatCode="General" sourceLinked="1"/>
        <c:majorTickMark val="none"/>
        <c:minorTickMark val="none"/>
        <c:tickLblPos val="nextTo"/>
        <c:crossAx val="-42570560"/>
        <c:crosses val="autoZero"/>
        <c:auto val="1"/>
        <c:lblAlgn val="ctr"/>
        <c:lblOffset val="100"/>
        <c:noMultiLvlLbl val="0"/>
      </c:catAx>
      <c:valAx>
        <c:axId val="-42570560"/>
        <c:scaling>
          <c:orientation val="minMax"/>
        </c:scaling>
        <c:delete val="1"/>
        <c:axPos val="b"/>
        <c:majorGridlines>
          <c:spPr>
            <a:ln w="9525" cap="flat" cmpd="sng" algn="ctr">
              <a:noFill/>
              <a:prstDash val="sysDot"/>
              <a:round/>
            </a:ln>
            <a:effectLst/>
          </c:spPr>
        </c:majorGridlines>
        <c:numFmt formatCode="General" sourceLinked="1"/>
        <c:majorTickMark val="none"/>
        <c:minorTickMark val="none"/>
        <c:tickLblPos val="nextTo"/>
        <c:crossAx val="-4256131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17</xdr:col>
      <xdr:colOff>71437</xdr:colOff>
      <xdr:row>32</xdr:row>
      <xdr:rowOff>107156</xdr:rowOff>
    </xdr:to>
    <xdr:sp macro="" textlink="">
      <xdr:nvSpPr>
        <xdr:cNvPr id="2" name="Rounded Rectangle 1"/>
        <xdr:cNvSpPr/>
      </xdr:nvSpPr>
      <xdr:spPr>
        <a:xfrm>
          <a:off x="0" y="0"/>
          <a:ext cx="10394156" cy="5822156"/>
        </a:xfrm>
        <a:prstGeom prst="roundRect">
          <a:avLst>
            <a:gd name="adj" fmla="val 569"/>
          </a:avLst>
        </a:prstGeom>
        <a:solidFill>
          <a:schemeClr val="tx1">
            <a:lumMod val="85000"/>
            <a:lumOff val="1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11905</xdr:colOff>
      <xdr:row>21</xdr:row>
      <xdr:rowOff>166687</xdr:rowOff>
    </xdr:from>
    <xdr:to>
      <xdr:col>3</xdr:col>
      <xdr:colOff>250031</xdr:colOff>
      <xdr:row>31</xdr:row>
      <xdr:rowOff>59530</xdr:rowOff>
    </xdr:to>
    <xdr:sp macro="" textlink="">
      <xdr:nvSpPr>
        <xdr:cNvPr id="3" name="Rounded Rectangle 2"/>
        <xdr:cNvSpPr/>
      </xdr:nvSpPr>
      <xdr:spPr>
        <a:xfrm>
          <a:off x="11905" y="4274343"/>
          <a:ext cx="2059782" cy="1678781"/>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23811</xdr:colOff>
      <xdr:row>5</xdr:row>
      <xdr:rowOff>71438</xdr:rowOff>
    </xdr:from>
    <xdr:to>
      <xdr:col>3</xdr:col>
      <xdr:colOff>261937</xdr:colOff>
      <xdr:row>21</xdr:row>
      <xdr:rowOff>102392</xdr:rowOff>
    </xdr:to>
    <xdr:sp macro="" textlink="">
      <xdr:nvSpPr>
        <xdr:cNvPr id="4" name="Rounded Rectangle 3"/>
        <xdr:cNvSpPr/>
      </xdr:nvSpPr>
      <xdr:spPr>
        <a:xfrm>
          <a:off x="23811" y="1321594"/>
          <a:ext cx="2059782" cy="2888454"/>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369094</xdr:colOff>
      <xdr:row>19</xdr:row>
      <xdr:rowOff>71436</xdr:rowOff>
    </xdr:from>
    <xdr:to>
      <xdr:col>7</xdr:col>
      <xdr:colOff>1</xdr:colOff>
      <xdr:row>31</xdr:row>
      <xdr:rowOff>66674</xdr:rowOff>
    </xdr:to>
    <xdr:sp macro="" textlink="">
      <xdr:nvSpPr>
        <xdr:cNvPr id="6" name="Rounded Rectangle 5"/>
        <xdr:cNvSpPr/>
      </xdr:nvSpPr>
      <xdr:spPr>
        <a:xfrm>
          <a:off x="2190750" y="3821905"/>
          <a:ext cx="2059782" cy="2138363"/>
        </a:xfrm>
        <a:prstGeom prst="roundRect">
          <a:avLst>
            <a:gd name="adj" fmla="val 355"/>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595312</xdr:colOff>
      <xdr:row>13</xdr:row>
      <xdr:rowOff>11906</xdr:rowOff>
    </xdr:from>
    <xdr:to>
      <xdr:col>10</xdr:col>
      <xdr:colOff>321468</xdr:colOff>
      <xdr:row>26</xdr:row>
      <xdr:rowOff>71436</xdr:rowOff>
    </xdr:to>
    <xdr:sp macro="" textlink="">
      <xdr:nvSpPr>
        <xdr:cNvPr id="7" name="Rounded Rectangle 6"/>
        <xdr:cNvSpPr/>
      </xdr:nvSpPr>
      <xdr:spPr>
        <a:xfrm>
          <a:off x="4238625" y="2690812"/>
          <a:ext cx="2155031" cy="2381249"/>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357189</xdr:colOff>
      <xdr:row>5</xdr:row>
      <xdr:rowOff>83343</xdr:rowOff>
    </xdr:from>
    <xdr:to>
      <xdr:col>6</xdr:col>
      <xdr:colOff>595314</xdr:colOff>
      <xdr:row>12</xdr:row>
      <xdr:rowOff>59529</xdr:rowOff>
    </xdr:to>
    <xdr:sp macro="" textlink="">
      <xdr:nvSpPr>
        <xdr:cNvPr id="9" name="Rounded Rectangle 8"/>
        <xdr:cNvSpPr/>
      </xdr:nvSpPr>
      <xdr:spPr>
        <a:xfrm>
          <a:off x="2178845" y="1333499"/>
          <a:ext cx="2059782" cy="1226343"/>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178594</xdr:colOff>
      <xdr:row>12</xdr:row>
      <xdr:rowOff>150018</xdr:rowOff>
    </xdr:from>
    <xdr:to>
      <xdr:col>6</xdr:col>
      <xdr:colOff>559593</xdr:colOff>
      <xdr:row>19</xdr:row>
      <xdr:rowOff>154780</xdr:rowOff>
    </xdr:to>
    <xdr:sp macro="" textlink="">
      <xdr:nvSpPr>
        <xdr:cNvPr id="12" name="Rounded Rectangle 11"/>
        <xdr:cNvSpPr/>
      </xdr:nvSpPr>
      <xdr:spPr>
        <a:xfrm>
          <a:off x="3214688" y="2650331"/>
          <a:ext cx="988218" cy="125491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369095</xdr:colOff>
      <xdr:row>12</xdr:row>
      <xdr:rowOff>161924</xdr:rowOff>
    </xdr:from>
    <xdr:to>
      <xdr:col>5</xdr:col>
      <xdr:colOff>142875</xdr:colOff>
      <xdr:row>19</xdr:row>
      <xdr:rowOff>166686</xdr:rowOff>
    </xdr:to>
    <xdr:sp macro="" textlink="">
      <xdr:nvSpPr>
        <xdr:cNvPr id="13" name="Rounded Rectangle 12"/>
        <xdr:cNvSpPr/>
      </xdr:nvSpPr>
      <xdr:spPr>
        <a:xfrm>
          <a:off x="2190751" y="2662237"/>
          <a:ext cx="988218" cy="125491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428625</xdr:colOff>
      <xdr:row>21</xdr:row>
      <xdr:rowOff>23814</xdr:rowOff>
    </xdr:from>
    <xdr:to>
      <xdr:col>16</xdr:col>
      <xdr:colOff>571501</xdr:colOff>
      <xdr:row>31</xdr:row>
      <xdr:rowOff>83344</xdr:rowOff>
    </xdr:to>
    <xdr:sp macro="" textlink="">
      <xdr:nvSpPr>
        <xdr:cNvPr id="14" name="Rounded Rectangle 13"/>
        <xdr:cNvSpPr/>
      </xdr:nvSpPr>
      <xdr:spPr>
        <a:xfrm>
          <a:off x="6500813" y="4131470"/>
          <a:ext cx="3786188" cy="184546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404811</xdr:colOff>
      <xdr:row>5</xdr:row>
      <xdr:rowOff>71437</xdr:rowOff>
    </xdr:from>
    <xdr:to>
      <xdr:col>16</xdr:col>
      <xdr:colOff>535780</xdr:colOff>
      <xdr:row>13</xdr:row>
      <xdr:rowOff>35719</xdr:rowOff>
    </xdr:to>
    <xdr:sp macro="" textlink="">
      <xdr:nvSpPr>
        <xdr:cNvPr id="22" name="Rounded Rectangle 21"/>
        <xdr:cNvSpPr/>
      </xdr:nvSpPr>
      <xdr:spPr>
        <a:xfrm>
          <a:off x="7084217" y="1321593"/>
          <a:ext cx="3167063" cy="1393032"/>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464344</xdr:colOff>
      <xdr:row>0</xdr:row>
      <xdr:rowOff>83343</xdr:rowOff>
    </xdr:from>
    <xdr:to>
      <xdr:col>16</xdr:col>
      <xdr:colOff>509586</xdr:colOff>
      <xdr:row>5</xdr:row>
      <xdr:rowOff>23812</xdr:rowOff>
    </xdr:to>
    <xdr:sp macro="" textlink="">
      <xdr:nvSpPr>
        <xdr:cNvPr id="24" name="Rounded Rectangle 23"/>
        <xdr:cNvSpPr/>
      </xdr:nvSpPr>
      <xdr:spPr>
        <a:xfrm>
          <a:off x="8358188" y="440531"/>
          <a:ext cx="1866898" cy="833437"/>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130966</xdr:colOff>
      <xdr:row>13</xdr:row>
      <xdr:rowOff>119063</xdr:rowOff>
    </xdr:from>
    <xdr:to>
      <xdr:col>16</xdr:col>
      <xdr:colOff>525729</xdr:colOff>
      <xdr:row>16</xdr:row>
      <xdr:rowOff>112482</xdr:rowOff>
    </xdr:to>
    <xdr:sp macro="" textlink="">
      <xdr:nvSpPr>
        <xdr:cNvPr id="17" name="Rounded Rectangle 16"/>
        <xdr:cNvSpPr/>
      </xdr:nvSpPr>
      <xdr:spPr>
        <a:xfrm>
          <a:off x="8632029" y="2797969"/>
          <a:ext cx="1609200" cy="529201"/>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119062</xdr:colOff>
      <xdr:row>13</xdr:row>
      <xdr:rowOff>141941</xdr:rowOff>
    </xdr:from>
    <xdr:to>
      <xdr:col>16</xdr:col>
      <xdr:colOff>380625</xdr:colOff>
      <xdr:row>17</xdr:row>
      <xdr:rowOff>3566</xdr:rowOff>
    </xdr:to>
    <xdr:sp macro="" textlink="">
      <xdr:nvSpPr>
        <xdr:cNvPr id="5" name="TextBox 4"/>
        <xdr:cNvSpPr txBox="1"/>
      </xdr:nvSpPr>
      <xdr:spPr>
        <a:xfrm>
          <a:off x="8620125" y="2820847"/>
          <a:ext cx="1476000" cy="5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lumMod val="95000"/>
                </a:schemeClr>
              </a:solidFill>
              <a:latin typeface="+mn-lt"/>
            </a:rPr>
            <a:t>Part</a:t>
          </a:r>
          <a:r>
            <a:rPr lang="en-US" sz="1200" b="1" baseline="0">
              <a:solidFill>
                <a:schemeClr val="bg1">
                  <a:lumMod val="95000"/>
                </a:schemeClr>
              </a:solidFill>
              <a:latin typeface="+mn-lt"/>
            </a:rPr>
            <a:t> </a:t>
          </a:r>
          <a:r>
            <a:rPr lang="en-US" sz="1200" b="1" baseline="0">
              <a:ln>
                <a:noFill/>
              </a:ln>
              <a:solidFill>
                <a:schemeClr val="bg1">
                  <a:lumMod val="95000"/>
                </a:schemeClr>
              </a:solidFill>
              <a:latin typeface="+mn-lt"/>
            </a:rPr>
            <a:t>Time</a:t>
          </a:r>
          <a:r>
            <a:rPr lang="en-US" sz="1200" b="1" baseline="0">
              <a:solidFill>
                <a:schemeClr val="bg1">
                  <a:lumMod val="95000"/>
                </a:schemeClr>
              </a:solidFill>
              <a:latin typeface="+mn-lt"/>
            </a:rPr>
            <a:t> employess</a:t>
          </a:r>
          <a:endParaRPr lang="en-US" sz="1200" b="1">
            <a:solidFill>
              <a:schemeClr val="bg1">
                <a:lumMod val="95000"/>
              </a:schemeClr>
            </a:solidFill>
            <a:latin typeface="+mn-lt"/>
          </a:endParaRPr>
        </a:p>
      </xdr:txBody>
    </xdr:sp>
    <xdr:clientData/>
  </xdr:twoCellAnchor>
  <xdr:twoCellAnchor>
    <xdr:from>
      <xdr:col>15</xdr:col>
      <xdr:colOff>500062</xdr:colOff>
      <xdr:row>13</xdr:row>
      <xdr:rowOff>159218</xdr:rowOff>
    </xdr:from>
    <xdr:to>
      <xdr:col>16</xdr:col>
      <xdr:colOff>468843</xdr:colOff>
      <xdr:row>16</xdr:row>
      <xdr:rowOff>91436</xdr:rowOff>
    </xdr:to>
    <xdr:sp macro="" textlink="Sheet4!B12">
      <xdr:nvSpPr>
        <xdr:cNvPr id="25" name="TextBox 24"/>
        <xdr:cNvSpPr txBox="1"/>
      </xdr:nvSpPr>
      <xdr:spPr>
        <a:xfrm>
          <a:off x="9608343" y="2838124"/>
          <a:ext cx="576000"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051B4B-8213-4A26-A1B0-80208BEE90A2}" type="TxLink">
            <a:rPr lang="en-US" sz="2800" b="1" i="0" u="none" strike="noStrike">
              <a:ln>
                <a:solidFill>
                  <a:schemeClr val="tx1">
                    <a:lumMod val="75000"/>
                    <a:lumOff val="25000"/>
                  </a:schemeClr>
                </a:solidFill>
              </a:ln>
              <a:solidFill>
                <a:schemeClr val="bg1"/>
              </a:solidFill>
              <a:latin typeface="Calibri"/>
              <a:cs typeface="Calibri"/>
            </a:rPr>
            <a:pPr algn="ctr"/>
            <a:t>13</a:t>
          </a:fld>
          <a:endParaRPr lang="en-US" sz="3200" b="1">
            <a:ln>
              <a:solidFill>
                <a:schemeClr val="tx1">
                  <a:lumMod val="75000"/>
                  <a:lumOff val="25000"/>
                </a:schemeClr>
              </a:solidFill>
            </a:ln>
            <a:solidFill>
              <a:schemeClr val="bg1"/>
            </a:solidFill>
            <a:latin typeface="+mn-lt"/>
          </a:endParaRPr>
        </a:p>
      </xdr:txBody>
    </xdr:sp>
    <xdr:clientData/>
  </xdr:twoCellAnchor>
  <xdr:twoCellAnchor>
    <xdr:from>
      <xdr:col>14</xdr:col>
      <xdr:colOff>142873</xdr:colOff>
      <xdr:row>17</xdr:row>
      <xdr:rowOff>119063</xdr:rowOff>
    </xdr:from>
    <xdr:to>
      <xdr:col>16</xdr:col>
      <xdr:colOff>535931</xdr:colOff>
      <xdr:row>20</xdr:row>
      <xdr:rowOff>119063</xdr:rowOff>
    </xdr:to>
    <xdr:sp macro="" textlink="">
      <xdr:nvSpPr>
        <xdr:cNvPr id="15" name="Rounded Rectangle 14"/>
        <xdr:cNvSpPr/>
      </xdr:nvSpPr>
      <xdr:spPr>
        <a:xfrm>
          <a:off x="8643936" y="3512344"/>
          <a:ext cx="1607495" cy="535782"/>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500065</xdr:colOff>
      <xdr:row>17</xdr:row>
      <xdr:rowOff>166688</xdr:rowOff>
    </xdr:from>
    <xdr:to>
      <xdr:col>16</xdr:col>
      <xdr:colOff>468846</xdr:colOff>
      <xdr:row>20</xdr:row>
      <xdr:rowOff>98906</xdr:rowOff>
    </xdr:to>
    <xdr:sp macro="" textlink="Sheet4!B11">
      <xdr:nvSpPr>
        <xdr:cNvPr id="29" name="TextBox 28"/>
        <xdr:cNvSpPr txBox="1"/>
      </xdr:nvSpPr>
      <xdr:spPr>
        <a:xfrm>
          <a:off x="9608346" y="3559969"/>
          <a:ext cx="576000"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2740FC9-5559-494B-ADE2-A26C667D9BF3}" type="TxLink">
            <a:rPr lang="en-US" sz="2800" b="1" i="0" u="none" strike="noStrike">
              <a:ln>
                <a:noFill/>
              </a:ln>
              <a:solidFill>
                <a:schemeClr val="bg1"/>
              </a:solidFill>
              <a:latin typeface="Calibri"/>
              <a:cs typeface="Calibri"/>
            </a:rPr>
            <a:pPr algn="ctr"/>
            <a:t>20</a:t>
          </a:fld>
          <a:endParaRPr lang="en-US" sz="6600" b="1">
            <a:ln>
              <a:noFill/>
            </a:ln>
            <a:solidFill>
              <a:schemeClr val="bg1"/>
            </a:solidFill>
            <a:latin typeface="+mn-lt"/>
          </a:endParaRPr>
        </a:p>
      </xdr:txBody>
    </xdr:sp>
    <xdr:clientData/>
  </xdr:twoCellAnchor>
  <xdr:twoCellAnchor>
    <xdr:from>
      <xdr:col>11</xdr:col>
      <xdr:colOff>154780</xdr:colOff>
      <xdr:row>17</xdr:row>
      <xdr:rowOff>119063</xdr:rowOff>
    </xdr:from>
    <xdr:to>
      <xdr:col>13</xdr:col>
      <xdr:colOff>547837</xdr:colOff>
      <xdr:row>20</xdr:row>
      <xdr:rowOff>119063</xdr:rowOff>
    </xdr:to>
    <xdr:sp macro="" textlink="">
      <xdr:nvSpPr>
        <xdr:cNvPr id="39" name="Rounded Rectangle 38"/>
        <xdr:cNvSpPr/>
      </xdr:nvSpPr>
      <xdr:spPr>
        <a:xfrm>
          <a:off x="6834186" y="3512344"/>
          <a:ext cx="1607495" cy="535782"/>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154784</xdr:colOff>
      <xdr:row>17</xdr:row>
      <xdr:rowOff>119063</xdr:rowOff>
    </xdr:from>
    <xdr:to>
      <xdr:col>13</xdr:col>
      <xdr:colOff>416346</xdr:colOff>
      <xdr:row>20</xdr:row>
      <xdr:rowOff>159281</xdr:rowOff>
    </xdr:to>
    <xdr:sp macro="" textlink="">
      <xdr:nvSpPr>
        <xdr:cNvPr id="40" name="TextBox 39"/>
        <xdr:cNvSpPr txBox="1"/>
      </xdr:nvSpPr>
      <xdr:spPr>
        <a:xfrm>
          <a:off x="6834190" y="3512344"/>
          <a:ext cx="1476000" cy="5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contract</a:t>
          </a:r>
        </a:p>
        <a:p>
          <a:r>
            <a:rPr lang="en-US" sz="1200" b="1" baseline="0">
              <a:solidFill>
                <a:schemeClr val="bg1">
                  <a:lumMod val="95000"/>
                </a:schemeClr>
              </a:solidFill>
              <a:latin typeface="+mn-lt"/>
            </a:rPr>
            <a:t>employee</a:t>
          </a:r>
          <a:endParaRPr lang="en-US" sz="1200" b="1">
            <a:solidFill>
              <a:schemeClr val="bg1">
                <a:lumMod val="95000"/>
              </a:schemeClr>
            </a:solidFill>
            <a:latin typeface="+mn-lt"/>
          </a:endParaRPr>
        </a:p>
      </xdr:txBody>
    </xdr:sp>
    <xdr:clientData/>
  </xdr:twoCellAnchor>
  <xdr:twoCellAnchor>
    <xdr:from>
      <xdr:col>12</xdr:col>
      <xdr:colOff>511971</xdr:colOff>
      <xdr:row>17</xdr:row>
      <xdr:rowOff>166688</xdr:rowOff>
    </xdr:from>
    <xdr:to>
      <xdr:col>13</xdr:col>
      <xdr:colOff>480752</xdr:colOff>
      <xdr:row>20</xdr:row>
      <xdr:rowOff>98906</xdr:rowOff>
    </xdr:to>
    <xdr:sp macro="" textlink="Sheet4!B10">
      <xdr:nvSpPr>
        <xdr:cNvPr id="41" name="TextBox 40"/>
        <xdr:cNvSpPr txBox="1"/>
      </xdr:nvSpPr>
      <xdr:spPr>
        <a:xfrm>
          <a:off x="7798596" y="3559969"/>
          <a:ext cx="576000"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D1D802-31E4-4CEF-B82C-055EF512ADCA}" type="TxLink">
            <a:rPr lang="en-US" sz="2800" b="1" i="0" u="none" strike="noStrike">
              <a:ln>
                <a:solidFill>
                  <a:schemeClr val="tx1">
                    <a:lumMod val="75000"/>
                    <a:lumOff val="25000"/>
                  </a:schemeClr>
                </a:solidFill>
              </a:ln>
              <a:solidFill>
                <a:schemeClr val="bg1"/>
              </a:solidFill>
              <a:latin typeface="Calibri"/>
              <a:cs typeface="Calibri"/>
            </a:rPr>
            <a:pPr algn="ctr"/>
            <a:t>17</a:t>
          </a:fld>
          <a:endParaRPr lang="en-US" sz="6600" b="1">
            <a:ln>
              <a:solidFill>
                <a:schemeClr val="tx1">
                  <a:lumMod val="75000"/>
                  <a:lumOff val="25000"/>
                </a:schemeClr>
              </a:solidFill>
            </a:ln>
            <a:solidFill>
              <a:schemeClr val="bg1"/>
            </a:solidFill>
            <a:latin typeface="+mn-lt"/>
          </a:endParaRPr>
        </a:p>
      </xdr:txBody>
    </xdr:sp>
    <xdr:clientData/>
  </xdr:twoCellAnchor>
  <xdr:twoCellAnchor>
    <xdr:from>
      <xdr:col>11</xdr:col>
      <xdr:colOff>166687</xdr:colOff>
      <xdr:row>13</xdr:row>
      <xdr:rowOff>119063</xdr:rowOff>
    </xdr:from>
    <xdr:to>
      <xdr:col>14</xdr:col>
      <xdr:colOff>-1</xdr:colOff>
      <xdr:row>16</xdr:row>
      <xdr:rowOff>154189</xdr:rowOff>
    </xdr:to>
    <xdr:sp macro="" textlink="">
      <xdr:nvSpPr>
        <xdr:cNvPr id="43" name="Rounded Rectangle 42"/>
        <xdr:cNvSpPr/>
      </xdr:nvSpPr>
      <xdr:spPr>
        <a:xfrm>
          <a:off x="6846093" y="2797969"/>
          <a:ext cx="1654969" cy="57090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178597</xdr:colOff>
      <xdr:row>13</xdr:row>
      <xdr:rowOff>142875</xdr:rowOff>
    </xdr:from>
    <xdr:to>
      <xdr:col>13</xdr:col>
      <xdr:colOff>483750</xdr:colOff>
      <xdr:row>17</xdr:row>
      <xdr:rowOff>47625</xdr:rowOff>
    </xdr:to>
    <xdr:sp macro="" textlink="">
      <xdr:nvSpPr>
        <xdr:cNvPr id="44" name="TextBox 43"/>
        <xdr:cNvSpPr txBox="1"/>
      </xdr:nvSpPr>
      <xdr:spPr>
        <a:xfrm>
          <a:off x="6858003" y="2821781"/>
          <a:ext cx="1519591" cy="619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solidFill>
              <a:latin typeface="+mn-lt"/>
            </a:rPr>
            <a:t>total </a:t>
          </a:r>
        </a:p>
        <a:p>
          <a:r>
            <a:rPr lang="en-US" sz="1200" b="1">
              <a:solidFill>
                <a:schemeClr val="accent5"/>
              </a:solidFill>
              <a:latin typeface="+mn-lt"/>
            </a:rPr>
            <a:t>employee</a:t>
          </a:r>
        </a:p>
        <a:p>
          <a:endParaRPr lang="en-US" sz="1200" b="1">
            <a:solidFill>
              <a:schemeClr val="bg1">
                <a:lumMod val="95000"/>
              </a:schemeClr>
            </a:solidFill>
            <a:latin typeface="+mn-lt"/>
          </a:endParaRPr>
        </a:p>
      </xdr:txBody>
    </xdr:sp>
    <xdr:clientData/>
  </xdr:twoCellAnchor>
  <xdr:twoCellAnchor>
    <xdr:from>
      <xdr:col>5</xdr:col>
      <xdr:colOff>357188</xdr:colOff>
      <xdr:row>16</xdr:row>
      <xdr:rowOff>59530</xdr:rowOff>
    </xdr:from>
    <xdr:to>
      <xdr:col>6</xdr:col>
      <xdr:colOff>190499</xdr:colOff>
      <xdr:row>18</xdr:row>
      <xdr:rowOff>153834</xdr:rowOff>
    </xdr:to>
    <xdr:sp macro="" textlink="Sheet4!B13">
      <xdr:nvSpPr>
        <xdr:cNvPr id="45" name="TextBox 44"/>
        <xdr:cNvSpPr txBox="1"/>
      </xdr:nvSpPr>
      <xdr:spPr>
        <a:xfrm>
          <a:off x="3393282" y="3274218"/>
          <a:ext cx="440530" cy="4514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A2BDBBE-5E0F-41F5-BA09-0F5B2C869726}" type="TxLink">
            <a:rPr lang="en-US" sz="2800" b="1" i="0" u="none" strike="noStrike">
              <a:ln>
                <a:solidFill>
                  <a:schemeClr val="tx1">
                    <a:lumMod val="75000"/>
                    <a:lumOff val="25000"/>
                  </a:schemeClr>
                </a:solidFill>
              </a:ln>
              <a:solidFill>
                <a:schemeClr val="bg1"/>
              </a:solidFill>
              <a:latin typeface="Calibri"/>
              <a:cs typeface="Calibri"/>
            </a:rPr>
            <a:pPr algn="ctr"/>
            <a:t>50</a:t>
          </a:fld>
          <a:endParaRPr lang="en-US" sz="6600" b="1">
            <a:ln>
              <a:solidFill>
                <a:schemeClr val="tx1">
                  <a:lumMod val="75000"/>
                  <a:lumOff val="25000"/>
                </a:schemeClr>
              </a:solidFill>
            </a:ln>
            <a:solidFill>
              <a:schemeClr val="bg1"/>
            </a:solidFill>
            <a:latin typeface="+mn-lt"/>
          </a:endParaRPr>
        </a:p>
      </xdr:txBody>
    </xdr:sp>
    <xdr:clientData/>
  </xdr:twoCellAnchor>
  <xdr:twoCellAnchor>
    <xdr:from>
      <xdr:col>10</xdr:col>
      <xdr:colOff>428624</xdr:colOff>
      <xdr:row>21</xdr:row>
      <xdr:rowOff>1</xdr:rowOff>
    </xdr:from>
    <xdr:to>
      <xdr:col>16</xdr:col>
      <xdr:colOff>571500</xdr:colOff>
      <xdr:row>31</xdr:row>
      <xdr:rowOff>83343</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309563</xdr:colOff>
      <xdr:row>14</xdr:row>
      <xdr:rowOff>59531</xdr:rowOff>
    </xdr:from>
    <xdr:to>
      <xdr:col>15</xdr:col>
      <xdr:colOff>547688</xdr:colOff>
      <xdr:row>15</xdr:row>
      <xdr:rowOff>95249</xdr:rowOff>
    </xdr:to>
    <xdr:sp macro="" textlink="">
      <xdr:nvSpPr>
        <xdr:cNvPr id="8" name="Oval 7"/>
        <xdr:cNvSpPr/>
      </xdr:nvSpPr>
      <xdr:spPr>
        <a:xfrm>
          <a:off x="9417844" y="2917031"/>
          <a:ext cx="238125" cy="214312"/>
        </a:xfrm>
        <a:prstGeom prst="ellipse">
          <a:avLst/>
        </a:prstGeom>
        <a:solidFill>
          <a:srgbClr val="C00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297657</xdr:colOff>
      <xdr:row>18</xdr:row>
      <xdr:rowOff>71437</xdr:rowOff>
    </xdr:from>
    <xdr:to>
      <xdr:col>15</xdr:col>
      <xdr:colOff>535782</xdr:colOff>
      <xdr:row>19</xdr:row>
      <xdr:rowOff>107155</xdr:rowOff>
    </xdr:to>
    <xdr:sp macro="" textlink="">
      <xdr:nvSpPr>
        <xdr:cNvPr id="32" name="Oval 31"/>
        <xdr:cNvSpPr/>
      </xdr:nvSpPr>
      <xdr:spPr>
        <a:xfrm>
          <a:off x="9405938" y="3643312"/>
          <a:ext cx="238125" cy="214312"/>
        </a:xfrm>
        <a:prstGeom prst="ellipse">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333375</xdr:colOff>
      <xdr:row>18</xdr:row>
      <xdr:rowOff>71437</xdr:rowOff>
    </xdr:from>
    <xdr:to>
      <xdr:col>12</xdr:col>
      <xdr:colOff>571500</xdr:colOff>
      <xdr:row>19</xdr:row>
      <xdr:rowOff>107155</xdr:rowOff>
    </xdr:to>
    <xdr:sp macro="" textlink="">
      <xdr:nvSpPr>
        <xdr:cNvPr id="33" name="Oval 32"/>
        <xdr:cNvSpPr/>
      </xdr:nvSpPr>
      <xdr:spPr>
        <a:xfrm>
          <a:off x="7620000" y="3643312"/>
          <a:ext cx="238125" cy="214312"/>
        </a:xfrm>
        <a:prstGeom prst="ellipse">
          <a:avLst/>
        </a:prstGeom>
        <a:solidFill>
          <a:srgbClr val="92D05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20</xdr:col>
      <xdr:colOff>0</xdr:colOff>
      <xdr:row>22</xdr:row>
      <xdr:rowOff>0</xdr:rowOff>
    </xdr:from>
    <xdr:to>
      <xdr:col>21</xdr:col>
      <xdr:colOff>523871</xdr:colOff>
      <xdr:row>23</xdr:row>
      <xdr:rowOff>119062</xdr:rowOff>
    </xdr:to>
    <xdr:sp macro="" textlink="">
      <xdr:nvSpPr>
        <xdr:cNvPr id="47" name="TextBox 46"/>
        <xdr:cNvSpPr txBox="1"/>
      </xdr:nvSpPr>
      <xdr:spPr>
        <a:xfrm>
          <a:off x="12144375" y="4286250"/>
          <a:ext cx="1131090"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Developers</a:t>
          </a:r>
        </a:p>
        <a:p>
          <a:endParaRPr lang="en-US" sz="1200" b="1" baseline="0">
            <a:solidFill>
              <a:schemeClr val="bg1">
                <a:lumMod val="95000"/>
              </a:schemeClr>
            </a:solidFill>
            <a:latin typeface="+mn-lt"/>
          </a:endParaRPr>
        </a:p>
      </xdr:txBody>
    </xdr:sp>
    <xdr:clientData/>
  </xdr:twoCellAnchor>
  <xdr:twoCellAnchor>
    <xdr:from>
      <xdr:col>7</xdr:col>
      <xdr:colOff>142874</xdr:colOff>
      <xdr:row>15</xdr:row>
      <xdr:rowOff>98848</xdr:rowOff>
    </xdr:from>
    <xdr:to>
      <xdr:col>9</xdr:col>
      <xdr:colOff>154782</xdr:colOff>
      <xdr:row>16</xdr:row>
      <xdr:rowOff>64616</xdr:rowOff>
    </xdr:to>
    <xdr:sp macro="" textlink="">
      <xdr:nvSpPr>
        <xdr:cNvPr id="27" name="TextBox 26"/>
        <xdr:cNvSpPr txBox="1"/>
      </xdr:nvSpPr>
      <xdr:spPr>
        <a:xfrm>
          <a:off x="4393405" y="3134942"/>
          <a:ext cx="1226346" cy="1443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chemeClr val="bg1">
                  <a:lumMod val="95000"/>
                </a:schemeClr>
              </a:solidFill>
              <a:latin typeface="+mn-lt"/>
            </a:rPr>
            <a:t>Total salaraies</a:t>
          </a:r>
        </a:p>
      </xdr:txBody>
    </xdr:sp>
    <xdr:clientData/>
  </xdr:twoCellAnchor>
  <xdr:twoCellAnchor>
    <xdr:from>
      <xdr:col>7</xdr:col>
      <xdr:colOff>119064</xdr:colOff>
      <xdr:row>16</xdr:row>
      <xdr:rowOff>124769</xdr:rowOff>
    </xdr:from>
    <xdr:to>
      <xdr:col>9</xdr:col>
      <xdr:colOff>35718</xdr:colOff>
      <xdr:row>18</xdr:row>
      <xdr:rowOff>68339</xdr:rowOff>
    </xdr:to>
    <xdr:sp macro="" textlink="">
      <xdr:nvSpPr>
        <xdr:cNvPr id="34" name="TextBox 33"/>
        <xdr:cNvSpPr txBox="1"/>
      </xdr:nvSpPr>
      <xdr:spPr>
        <a:xfrm>
          <a:off x="4369595" y="3339457"/>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Managers</a:t>
          </a:r>
        </a:p>
      </xdr:txBody>
    </xdr:sp>
    <xdr:clientData/>
  </xdr:twoCellAnchor>
  <xdr:twoCellAnchor>
    <xdr:from>
      <xdr:col>7</xdr:col>
      <xdr:colOff>107157</xdr:colOff>
      <xdr:row>20</xdr:row>
      <xdr:rowOff>138225</xdr:rowOff>
    </xdr:from>
    <xdr:to>
      <xdr:col>9</xdr:col>
      <xdr:colOff>23811</xdr:colOff>
      <xdr:row>22</xdr:row>
      <xdr:rowOff>81795</xdr:rowOff>
    </xdr:to>
    <xdr:sp macro="" textlink="">
      <xdr:nvSpPr>
        <xdr:cNvPr id="35" name="TextBox 34"/>
        <xdr:cNvSpPr txBox="1"/>
      </xdr:nvSpPr>
      <xdr:spPr>
        <a:xfrm>
          <a:off x="4357688" y="4067288"/>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Designers</a:t>
          </a:r>
        </a:p>
      </xdr:txBody>
    </xdr:sp>
    <xdr:clientData/>
  </xdr:twoCellAnchor>
  <xdr:twoCellAnchor>
    <xdr:from>
      <xdr:col>7</xdr:col>
      <xdr:colOff>107158</xdr:colOff>
      <xdr:row>18</xdr:row>
      <xdr:rowOff>131498</xdr:rowOff>
    </xdr:from>
    <xdr:to>
      <xdr:col>9</xdr:col>
      <xdr:colOff>23812</xdr:colOff>
      <xdr:row>20</xdr:row>
      <xdr:rowOff>75067</xdr:rowOff>
    </xdr:to>
    <xdr:sp macro="" textlink="">
      <xdr:nvSpPr>
        <xdr:cNvPr id="36" name="TextBox 35"/>
        <xdr:cNvSpPr txBox="1"/>
      </xdr:nvSpPr>
      <xdr:spPr>
        <a:xfrm>
          <a:off x="4357689" y="3703373"/>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Analyst</a:t>
          </a:r>
        </a:p>
      </xdr:txBody>
    </xdr:sp>
    <xdr:clientData/>
  </xdr:twoCellAnchor>
  <xdr:twoCellAnchor>
    <xdr:from>
      <xdr:col>7</xdr:col>
      <xdr:colOff>83344</xdr:colOff>
      <xdr:row>22</xdr:row>
      <xdr:rowOff>144954</xdr:rowOff>
    </xdr:from>
    <xdr:to>
      <xdr:col>8</xdr:col>
      <xdr:colOff>607217</xdr:colOff>
      <xdr:row>24</xdr:row>
      <xdr:rowOff>88523</xdr:rowOff>
    </xdr:to>
    <xdr:sp macro="" textlink="">
      <xdr:nvSpPr>
        <xdr:cNvPr id="37" name="TextBox 36"/>
        <xdr:cNvSpPr txBox="1"/>
      </xdr:nvSpPr>
      <xdr:spPr>
        <a:xfrm>
          <a:off x="4333875" y="4431204"/>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Developers</a:t>
          </a:r>
        </a:p>
        <a:p>
          <a:endParaRPr lang="en-US" sz="1200" b="1" baseline="0">
            <a:solidFill>
              <a:schemeClr val="bg1">
                <a:lumMod val="95000"/>
              </a:schemeClr>
            </a:solidFill>
            <a:latin typeface="+mn-lt"/>
          </a:endParaRPr>
        </a:p>
      </xdr:txBody>
    </xdr:sp>
    <xdr:clientData/>
  </xdr:twoCellAnchor>
  <xdr:twoCellAnchor>
    <xdr:from>
      <xdr:col>7</xdr:col>
      <xdr:colOff>83345</xdr:colOff>
      <xdr:row>24</xdr:row>
      <xdr:rowOff>151680</xdr:rowOff>
    </xdr:from>
    <xdr:to>
      <xdr:col>8</xdr:col>
      <xdr:colOff>607218</xdr:colOff>
      <xdr:row>26</xdr:row>
      <xdr:rowOff>95250</xdr:rowOff>
    </xdr:to>
    <xdr:sp macro="" textlink="">
      <xdr:nvSpPr>
        <xdr:cNvPr id="38" name="TextBox 37"/>
        <xdr:cNvSpPr txBox="1"/>
      </xdr:nvSpPr>
      <xdr:spPr>
        <a:xfrm>
          <a:off x="4333876" y="4795118"/>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HR specialist</a:t>
          </a:r>
        </a:p>
      </xdr:txBody>
    </xdr:sp>
    <xdr:clientData/>
  </xdr:twoCellAnchor>
  <xdr:twoCellAnchor>
    <xdr:from>
      <xdr:col>8</xdr:col>
      <xdr:colOff>392908</xdr:colOff>
      <xdr:row>16</xdr:row>
      <xdr:rowOff>52587</xdr:rowOff>
    </xdr:from>
    <xdr:to>
      <xdr:col>10</xdr:col>
      <xdr:colOff>309562</xdr:colOff>
      <xdr:row>17</xdr:row>
      <xdr:rowOff>174751</xdr:rowOff>
    </xdr:to>
    <xdr:sp macro="" textlink="Sheet4!E15">
      <xdr:nvSpPr>
        <xdr:cNvPr id="49" name="TextBox 48"/>
        <xdr:cNvSpPr txBox="1"/>
      </xdr:nvSpPr>
      <xdr:spPr>
        <a:xfrm>
          <a:off x="5250658" y="3267275"/>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DDCA39E-95C6-43E7-94B9-A3A9C11ABF36}" type="TxLink">
            <a:rPr lang="en-US" sz="2000" b="1" i="0" u="none" strike="noStrike" baseline="0">
              <a:solidFill>
                <a:schemeClr val="bg1">
                  <a:lumMod val="95000"/>
                </a:schemeClr>
              </a:solidFill>
              <a:latin typeface="Calibri"/>
              <a:cs typeface="Calibri"/>
            </a:rPr>
            <a:pPr/>
            <a:t>731170</a:t>
          </a:fld>
          <a:endParaRPr lang="en-US" sz="2000" b="1" baseline="0">
            <a:solidFill>
              <a:schemeClr val="bg1">
                <a:lumMod val="95000"/>
              </a:schemeClr>
            </a:solidFill>
            <a:latin typeface="+mn-lt"/>
          </a:endParaRPr>
        </a:p>
      </xdr:txBody>
    </xdr:sp>
    <xdr:clientData/>
  </xdr:twoCellAnchor>
  <xdr:twoCellAnchor>
    <xdr:from>
      <xdr:col>8</xdr:col>
      <xdr:colOff>381001</xdr:colOff>
      <xdr:row>20</xdr:row>
      <xdr:rowOff>54013</xdr:rowOff>
    </xdr:from>
    <xdr:to>
      <xdr:col>10</xdr:col>
      <xdr:colOff>297655</xdr:colOff>
      <xdr:row>21</xdr:row>
      <xdr:rowOff>176177</xdr:rowOff>
    </xdr:to>
    <xdr:sp macro="" textlink="Sheet4!E12">
      <xdr:nvSpPr>
        <xdr:cNvPr id="50" name="TextBox 49"/>
        <xdr:cNvSpPr txBox="1"/>
      </xdr:nvSpPr>
      <xdr:spPr>
        <a:xfrm>
          <a:off x="5238751" y="398307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F91375-CC61-4FFE-8100-98C091A61C15}" type="TxLink">
            <a:rPr lang="en-US" sz="2000" b="1" i="0" u="none" strike="noStrike" baseline="0">
              <a:solidFill>
                <a:schemeClr val="bg1">
                  <a:lumMod val="95000"/>
                </a:schemeClr>
              </a:solidFill>
              <a:latin typeface="Calibri"/>
              <a:cs typeface="Calibri"/>
            </a:rPr>
            <a:pPr/>
            <a:t>613842</a:t>
          </a:fld>
          <a:endParaRPr lang="en-US" sz="2000" b="1" baseline="0">
            <a:solidFill>
              <a:schemeClr val="bg1">
                <a:lumMod val="95000"/>
              </a:schemeClr>
            </a:solidFill>
            <a:latin typeface="+mn-lt"/>
          </a:endParaRPr>
        </a:p>
      </xdr:txBody>
    </xdr:sp>
    <xdr:clientData/>
  </xdr:twoCellAnchor>
  <xdr:twoCellAnchor>
    <xdr:from>
      <xdr:col>8</xdr:col>
      <xdr:colOff>381002</xdr:colOff>
      <xdr:row>18</xdr:row>
      <xdr:rowOff>47285</xdr:rowOff>
    </xdr:from>
    <xdr:to>
      <xdr:col>10</xdr:col>
      <xdr:colOff>297656</xdr:colOff>
      <xdr:row>19</xdr:row>
      <xdr:rowOff>169448</xdr:rowOff>
    </xdr:to>
    <xdr:sp macro="" textlink="Sheet4!E11">
      <xdr:nvSpPr>
        <xdr:cNvPr id="51" name="TextBox 50"/>
        <xdr:cNvSpPr txBox="1"/>
      </xdr:nvSpPr>
      <xdr:spPr>
        <a:xfrm>
          <a:off x="5238752" y="3619160"/>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F13993-F59E-46CD-930D-3D38CEA196D4}" type="TxLink">
            <a:rPr lang="en-US" sz="2000" b="1" i="0" u="none" strike="noStrike" baseline="0">
              <a:solidFill>
                <a:schemeClr val="bg1">
                  <a:lumMod val="95000"/>
                </a:schemeClr>
              </a:solidFill>
              <a:latin typeface="Calibri"/>
              <a:cs typeface="Calibri"/>
            </a:rPr>
            <a:pPr/>
            <a:t>167041</a:t>
          </a:fld>
          <a:endParaRPr lang="en-US" sz="2000" b="1" baseline="0">
            <a:solidFill>
              <a:schemeClr val="bg1">
                <a:lumMod val="95000"/>
              </a:schemeClr>
            </a:solidFill>
            <a:latin typeface="+mn-lt"/>
          </a:endParaRPr>
        </a:p>
      </xdr:txBody>
    </xdr:sp>
    <xdr:clientData/>
  </xdr:twoCellAnchor>
  <xdr:twoCellAnchor>
    <xdr:from>
      <xdr:col>8</xdr:col>
      <xdr:colOff>369094</xdr:colOff>
      <xdr:row>22</xdr:row>
      <xdr:rowOff>48712</xdr:rowOff>
    </xdr:from>
    <xdr:to>
      <xdr:col>10</xdr:col>
      <xdr:colOff>285748</xdr:colOff>
      <xdr:row>23</xdr:row>
      <xdr:rowOff>170875</xdr:rowOff>
    </xdr:to>
    <xdr:sp macro="" textlink="Sheet4!E13">
      <xdr:nvSpPr>
        <xdr:cNvPr id="52" name="TextBox 51"/>
        <xdr:cNvSpPr txBox="1"/>
      </xdr:nvSpPr>
      <xdr:spPr>
        <a:xfrm>
          <a:off x="5226844" y="4334962"/>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FB5A1BD-96C1-45A2-BCA8-FD5BAE322D29}" type="TxLink">
            <a:rPr lang="en-US" sz="2000" b="1" i="0" u="none" strike="noStrike" baseline="0">
              <a:solidFill>
                <a:schemeClr val="bg1">
                  <a:lumMod val="95000"/>
                </a:schemeClr>
              </a:solidFill>
              <a:latin typeface="Calibri"/>
              <a:cs typeface="Calibri"/>
            </a:rPr>
            <a:pPr/>
            <a:t>633594</a:t>
          </a:fld>
          <a:endParaRPr lang="en-US" sz="2000" b="1" baseline="0">
            <a:solidFill>
              <a:schemeClr val="bg1">
                <a:lumMod val="95000"/>
              </a:schemeClr>
            </a:solidFill>
            <a:latin typeface="+mn-lt"/>
          </a:endParaRPr>
        </a:p>
      </xdr:txBody>
    </xdr:sp>
    <xdr:clientData/>
  </xdr:twoCellAnchor>
  <xdr:twoCellAnchor>
    <xdr:from>
      <xdr:col>8</xdr:col>
      <xdr:colOff>392907</xdr:colOff>
      <xdr:row>24</xdr:row>
      <xdr:rowOff>67468</xdr:rowOff>
    </xdr:from>
    <xdr:to>
      <xdr:col>10</xdr:col>
      <xdr:colOff>309561</xdr:colOff>
      <xdr:row>26</xdr:row>
      <xdr:rowOff>11038</xdr:rowOff>
    </xdr:to>
    <xdr:sp macro="" textlink="Sheet4!E14">
      <xdr:nvSpPr>
        <xdr:cNvPr id="53" name="TextBox 52"/>
        <xdr:cNvSpPr txBox="1"/>
      </xdr:nvSpPr>
      <xdr:spPr>
        <a:xfrm>
          <a:off x="5250657" y="471090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774C67-7860-41CD-9109-2D404955D8AE}" type="TxLink">
            <a:rPr lang="en-US" sz="2000" b="1" i="0" u="none" strike="noStrike" baseline="0">
              <a:solidFill>
                <a:schemeClr val="bg1">
                  <a:lumMod val="95000"/>
                </a:schemeClr>
              </a:solidFill>
              <a:latin typeface="Calibri"/>
              <a:cs typeface="Calibri"/>
            </a:rPr>
            <a:pPr/>
            <a:t>959266</a:t>
          </a:fld>
          <a:endParaRPr lang="en-US" sz="2000" b="1" baseline="0">
            <a:solidFill>
              <a:schemeClr val="bg1">
                <a:lumMod val="95000"/>
              </a:schemeClr>
            </a:solidFill>
            <a:latin typeface="+mn-lt"/>
          </a:endParaRPr>
        </a:p>
      </xdr:txBody>
    </xdr:sp>
    <xdr:clientData/>
  </xdr:twoCellAnchor>
  <xdr:twoCellAnchor>
    <xdr:from>
      <xdr:col>8</xdr:col>
      <xdr:colOff>500064</xdr:colOff>
      <xdr:row>14</xdr:row>
      <xdr:rowOff>133078</xdr:rowOff>
    </xdr:from>
    <xdr:to>
      <xdr:col>10</xdr:col>
      <xdr:colOff>416718</xdr:colOff>
      <xdr:row>16</xdr:row>
      <xdr:rowOff>76647</xdr:rowOff>
    </xdr:to>
    <xdr:sp macro="" textlink="Sheet4!E16">
      <xdr:nvSpPr>
        <xdr:cNvPr id="54" name="TextBox 53"/>
        <xdr:cNvSpPr txBox="1"/>
      </xdr:nvSpPr>
      <xdr:spPr>
        <a:xfrm>
          <a:off x="5357814" y="2990578"/>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518468C-E9C2-47B7-83B2-3C9B337F3936}" type="TxLink">
            <a:rPr lang="en-US" sz="2000" b="1" i="0" u="none" strike="noStrike" baseline="0">
              <a:solidFill>
                <a:srgbClr val="FFC000"/>
              </a:solidFill>
              <a:latin typeface="Calibri"/>
              <a:cs typeface="Calibri"/>
            </a:rPr>
            <a:pPr/>
            <a:t>3104913</a:t>
          </a:fld>
          <a:endParaRPr lang="en-US" sz="4000" b="1" baseline="0">
            <a:solidFill>
              <a:srgbClr val="FFC000"/>
            </a:solidFill>
            <a:latin typeface="+mn-lt"/>
          </a:endParaRPr>
        </a:p>
      </xdr:txBody>
    </xdr:sp>
    <xdr:clientData/>
  </xdr:twoCellAnchor>
  <xdr:twoCellAnchor>
    <xdr:from>
      <xdr:col>3</xdr:col>
      <xdr:colOff>380998</xdr:colOff>
      <xdr:row>18</xdr:row>
      <xdr:rowOff>166688</xdr:rowOff>
    </xdr:from>
    <xdr:to>
      <xdr:col>6</xdr:col>
      <xdr:colOff>523875</xdr:colOff>
      <xdr:row>20</xdr:row>
      <xdr:rowOff>86196</xdr:rowOff>
    </xdr:to>
    <xdr:sp macro="" textlink="">
      <xdr:nvSpPr>
        <xdr:cNvPr id="42" name="TextBox 41"/>
        <xdr:cNvSpPr txBox="1"/>
      </xdr:nvSpPr>
      <xdr:spPr>
        <a:xfrm>
          <a:off x="2202654" y="3738563"/>
          <a:ext cx="1964534" cy="276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200" b="1" baseline="0">
            <a:solidFill>
              <a:srgbClr val="FFC000"/>
            </a:solidFill>
            <a:latin typeface="+mn-lt"/>
          </a:endParaRPr>
        </a:p>
      </xdr:txBody>
    </xdr:sp>
    <xdr:clientData/>
  </xdr:twoCellAnchor>
  <xdr:twoCellAnchor>
    <xdr:from>
      <xdr:col>7</xdr:col>
      <xdr:colOff>83345</xdr:colOff>
      <xdr:row>26</xdr:row>
      <xdr:rowOff>71437</xdr:rowOff>
    </xdr:from>
    <xdr:to>
      <xdr:col>10</xdr:col>
      <xdr:colOff>369094</xdr:colOff>
      <xdr:row>31</xdr:row>
      <xdr:rowOff>95250</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369094</xdr:colOff>
      <xdr:row>21</xdr:row>
      <xdr:rowOff>107155</xdr:rowOff>
    </xdr:from>
    <xdr:to>
      <xdr:col>6</xdr:col>
      <xdr:colOff>547688</xdr:colOff>
      <xdr:row>31</xdr:row>
      <xdr:rowOff>59530</xdr:rowOff>
    </xdr:to>
    <xdr:graphicFrame macro="">
      <xdr:nvGraphicFramePr>
        <xdr:cNvPr id="57" name="Chart 5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23</xdr:row>
      <xdr:rowOff>53332</xdr:rowOff>
    </xdr:from>
    <xdr:to>
      <xdr:col>1</xdr:col>
      <xdr:colOff>523873</xdr:colOff>
      <xdr:row>24</xdr:row>
      <xdr:rowOff>175495</xdr:rowOff>
    </xdr:to>
    <xdr:sp macro="" textlink="">
      <xdr:nvSpPr>
        <xdr:cNvPr id="46" name="TextBox 45"/>
        <xdr:cNvSpPr txBox="1"/>
      </xdr:nvSpPr>
      <xdr:spPr>
        <a:xfrm>
          <a:off x="0" y="451817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Branch</a:t>
          </a:r>
        </a:p>
      </xdr:txBody>
    </xdr:sp>
    <xdr:clientData/>
  </xdr:twoCellAnchor>
  <xdr:twoCellAnchor>
    <xdr:from>
      <xdr:col>0</xdr:col>
      <xdr:colOff>0</xdr:colOff>
      <xdr:row>28</xdr:row>
      <xdr:rowOff>19162</xdr:rowOff>
    </xdr:from>
    <xdr:to>
      <xdr:col>1</xdr:col>
      <xdr:colOff>523873</xdr:colOff>
      <xdr:row>29</xdr:row>
      <xdr:rowOff>141326</xdr:rowOff>
    </xdr:to>
    <xdr:sp macro="" textlink="">
      <xdr:nvSpPr>
        <xdr:cNvPr id="56" name="TextBox 55"/>
        <xdr:cNvSpPr txBox="1"/>
      </xdr:nvSpPr>
      <xdr:spPr>
        <a:xfrm>
          <a:off x="0" y="5376975"/>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Remote</a:t>
          </a:r>
        </a:p>
        <a:p>
          <a:endParaRPr lang="en-US" sz="1200" b="1" baseline="0">
            <a:solidFill>
              <a:schemeClr val="bg1">
                <a:lumMod val="95000"/>
              </a:schemeClr>
            </a:solidFill>
            <a:latin typeface="+mn-lt"/>
          </a:endParaRPr>
        </a:p>
      </xdr:txBody>
    </xdr:sp>
    <xdr:clientData/>
  </xdr:twoCellAnchor>
  <xdr:twoCellAnchor>
    <xdr:from>
      <xdr:col>0</xdr:col>
      <xdr:colOff>0</xdr:colOff>
      <xdr:row>25</xdr:row>
      <xdr:rowOff>143405</xdr:rowOff>
    </xdr:from>
    <xdr:to>
      <xdr:col>1</xdr:col>
      <xdr:colOff>523873</xdr:colOff>
      <xdr:row>27</xdr:row>
      <xdr:rowOff>86974</xdr:rowOff>
    </xdr:to>
    <xdr:sp macro="" textlink="">
      <xdr:nvSpPr>
        <xdr:cNvPr id="58" name="TextBox 57"/>
        <xdr:cNvSpPr txBox="1"/>
      </xdr:nvSpPr>
      <xdr:spPr>
        <a:xfrm>
          <a:off x="0" y="4965436"/>
          <a:ext cx="1131092" cy="3007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Head Office</a:t>
          </a:r>
        </a:p>
      </xdr:txBody>
    </xdr:sp>
    <xdr:clientData/>
  </xdr:twoCellAnchor>
  <xdr:twoCellAnchor>
    <xdr:from>
      <xdr:col>0</xdr:col>
      <xdr:colOff>0</xdr:colOff>
      <xdr:row>24</xdr:row>
      <xdr:rowOff>119060</xdr:rowOff>
    </xdr:from>
    <xdr:to>
      <xdr:col>3</xdr:col>
      <xdr:colOff>142874</xdr:colOff>
      <xdr:row>26</xdr:row>
      <xdr:rowOff>121873</xdr:rowOff>
    </xdr:to>
    <xdr:graphicFrame macro="">
      <xdr:nvGraphicFramePr>
        <xdr:cNvPr id="59" name="Chart 5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83342</xdr:colOff>
      <xdr:row>26</xdr:row>
      <xdr:rowOff>116677</xdr:rowOff>
    </xdr:from>
    <xdr:to>
      <xdr:col>3</xdr:col>
      <xdr:colOff>166687</xdr:colOff>
      <xdr:row>28</xdr:row>
      <xdr:rowOff>119489</xdr:rowOff>
    </xdr:to>
    <xdr:graphicFrame macro="">
      <xdr:nvGraphicFramePr>
        <xdr:cNvPr id="60" name="Chart 5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89295</xdr:colOff>
      <xdr:row>29</xdr:row>
      <xdr:rowOff>88104</xdr:rowOff>
    </xdr:from>
    <xdr:to>
      <xdr:col>3</xdr:col>
      <xdr:colOff>214312</xdr:colOff>
      <xdr:row>31</xdr:row>
      <xdr:rowOff>90916</xdr:rowOff>
    </xdr:to>
    <xdr:graphicFrame macro="">
      <xdr:nvGraphicFramePr>
        <xdr:cNvPr id="61" name="Chart 6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381000</xdr:colOff>
      <xdr:row>19</xdr:row>
      <xdr:rowOff>47625</xdr:rowOff>
    </xdr:from>
    <xdr:to>
      <xdr:col>6</xdr:col>
      <xdr:colOff>476249</xdr:colOff>
      <xdr:row>20</xdr:row>
      <xdr:rowOff>95249</xdr:rowOff>
    </xdr:to>
    <xdr:sp macro="" textlink="">
      <xdr:nvSpPr>
        <xdr:cNvPr id="62" name="TextBox 61"/>
        <xdr:cNvSpPr txBox="1"/>
      </xdr:nvSpPr>
      <xdr:spPr>
        <a:xfrm>
          <a:off x="2202656" y="3798094"/>
          <a:ext cx="1916906" cy="226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endParaRPr lang="en-US" sz="1200" b="1" baseline="0">
            <a:solidFill>
              <a:schemeClr val="bg1">
                <a:lumMod val="95000"/>
              </a:schemeClr>
            </a:solidFill>
            <a:latin typeface="+mn-lt"/>
          </a:endParaRPr>
        </a:p>
      </xdr:txBody>
    </xdr:sp>
    <xdr:clientData/>
  </xdr:twoCellAnchor>
  <xdr:twoCellAnchor>
    <xdr:from>
      <xdr:col>0</xdr:col>
      <xdr:colOff>190499</xdr:colOff>
      <xdr:row>22</xdr:row>
      <xdr:rowOff>27410</xdr:rowOff>
    </xdr:from>
    <xdr:to>
      <xdr:col>3</xdr:col>
      <xdr:colOff>214312</xdr:colOff>
      <xdr:row>23</xdr:row>
      <xdr:rowOff>71438</xdr:rowOff>
    </xdr:to>
    <xdr:sp macro="" textlink="">
      <xdr:nvSpPr>
        <xdr:cNvPr id="63" name="TextBox 62"/>
        <xdr:cNvSpPr txBox="1"/>
      </xdr:nvSpPr>
      <xdr:spPr>
        <a:xfrm>
          <a:off x="190499" y="4313660"/>
          <a:ext cx="1845469" cy="22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rgbClr val="FFC000"/>
              </a:solidFill>
              <a:latin typeface="+mn-lt"/>
            </a:rPr>
            <a:t>Work location</a:t>
          </a:r>
        </a:p>
      </xdr:txBody>
    </xdr:sp>
    <xdr:clientData/>
  </xdr:twoCellAnchor>
  <xdr:twoCellAnchor>
    <xdr:from>
      <xdr:col>0</xdr:col>
      <xdr:colOff>59531</xdr:colOff>
      <xdr:row>9</xdr:row>
      <xdr:rowOff>134567</xdr:rowOff>
    </xdr:from>
    <xdr:to>
      <xdr:col>2</xdr:col>
      <xdr:colOff>33093</xdr:colOff>
      <xdr:row>11</xdr:row>
      <xdr:rowOff>65379</xdr:rowOff>
    </xdr:to>
    <xdr:sp macro="" textlink="">
      <xdr:nvSpPr>
        <xdr:cNvPr id="64" name="TextBox 63"/>
        <xdr:cNvSpPr txBox="1"/>
      </xdr:nvSpPr>
      <xdr:spPr>
        <a:xfrm>
          <a:off x="59531" y="2099098"/>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b="1" baseline="0">
              <a:solidFill>
                <a:schemeClr val="bg1">
                  <a:lumMod val="95000"/>
                </a:schemeClr>
              </a:solidFill>
              <a:latin typeface="+mn-lt"/>
            </a:rPr>
            <a:t>communication</a:t>
          </a:r>
        </a:p>
      </xdr:txBody>
    </xdr:sp>
    <xdr:clientData/>
  </xdr:twoCellAnchor>
  <xdr:twoCellAnchor>
    <xdr:from>
      <xdr:col>0</xdr:col>
      <xdr:colOff>59531</xdr:colOff>
      <xdr:row>11</xdr:row>
      <xdr:rowOff>109414</xdr:rowOff>
    </xdr:from>
    <xdr:to>
      <xdr:col>2</xdr:col>
      <xdr:colOff>33093</xdr:colOff>
      <xdr:row>13</xdr:row>
      <xdr:rowOff>40227</xdr:rowOff>
    </xdr:to>
    <xdr:sp macro="" textlink="">
      <xdr:nvSpPr>
        <xdr:cNvPr id="65" name="TextBox 64"/>
        <xdr:cNvSpPr txBox="1"/>
      </xdr:nvSpPr>
      <xdr:spPr>
        <a:xfrm>
          <a:off x="59531" y="2431133"/>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Managers</a:t>
          </a:r>
        </a:p>
      </xdr:txBody>
    </xdr:sp>
    <xdr:clientData/>
  </xdr:twoCellAnchor>
  <xdr:twoCellAnchor>
    <xdr:from>
      <xdr:col>0</xdr:col>
      <xdr:colOff>59531</xdr:colOff>
      <xdr:row>15</xdr:row>
      <xdr:rowOff>59109</xdr:rowOff>
    </xdr:from>
    <xdr:to>
      <xdr:col>2</xdr:col>
      <xdr:colOff>33093</xdr:colOff>
      <xdr:row>16</xdr:row>
      <xdr:rowOff>168515</xdr:rowOff>
    </xdr:to>
    <xdr:sp macro="" textlink="">
      <xdr:nvSpPr>
        <xdr:cNvPr id="66" name="TextBox 65"/>
        <xdr:cNvSpPr txBox="1"/>
      </xdr:nvSpPr>
      <xdr:spPr>
        <a:xfrm>
          <a:off x="59531" y="3095203"/>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Excel</a:t>
          </a:r>
        </a:p>
      </xdr:txBody>
    </xdr:sp>
    <xdr:clientData/>
  </xdr:twoCellAnchor>
  <xdr:twoCellAnchor>
    <xdr:from>
      <xdr:col>0</xdr:col>
      <xdr:colOff>59531</xdr:colOff>
      <xdr:row>13</xdr:row>
      <xdr:rowOff>84262</xdr:rowOff>
    </xdr:from>
    <xdr:to>
      <xdr:col>2</xdr:col>
      <xdr:colOff>33093</xdr:colOff>
      <xdr:row>15</xdr:row>
      <xdr:rowOff>15074</xdr:rowOff>
    </xdr:to>
    <xdr:sp macro="" textlink="">
      <xdr:nvSpPr>
        <xdr:cNvPr id="67" name="TextBox 66"/>
        <xdr:cNvSpPr txBox="1"/>
      </xdr:nvSpPr>
      <xdr:spPr>
        <a:xfrm>
          <a:off x="59531" y="2763168"/>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design</a:t>
          </a:r>
        </a:p>
      </xdr:txBody>
    </xdr:sp>
    <xdr:clientData/>
  </xdr:twoCellAnchor>
  <xdr:twoCellAnchor>
    <xdr:from>
      <xdr:col>0</xdr:col>
      <xdr:colOff>59531</xdr:colOff>
      <xdr:row>17</xdr:row>
      <xdr:rowOff>33957</xdr:rowOff>
    </xdr:from>
    <xdr:to>
      <xdr:col>2</xdr:col>
      <xdr:colOff>33093</xdr:colOff>
      <xdr:row>18</xdr:row>
      <xdr:rowOff>143363</xdr:rowOff>
    </xdr:to>
    <xdr:sp macro="" textlink="">
      <xdr:nvSpPr>
        <xdr:cNvPr id="68" name="TextBox 67"/>
        <xdr:cNvSpPr txBox="1"/>
      </xdr:nvSpPr>
      <xdr:spPr>
        <a:xfrm>
          <a:off x="59531" y="3427238"/>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management</a:t>
          </a:r>
        </a:p>
      </xdr:txBody>
    </xdr:sp>
    <xdr:clientData/>
  </xdr:twoCellAnchor>
  <xdr:twoCellAnchor>
    <xdr:from>
      <xdr:col>0</xdr:col>
      <xdr:colOff>59531</xdr:colOff>
      <xdr:row>19</xdr:row>
      <xdr:rowOff>8805</xdr:rowOff>
    </xdr:from>
    <xdr:to>
      <xdr:col>2</xdr:col>
      <xdr:colOff>33093</xdr:colOff>
      <xdr:row>20</xdr:row>
      <xdr:rowOff>118211</xdr:rowOff>
    </xdr:to>
    <xdr:sp macro="" textlink="">
      <xdr:nvSpPr>
        <xdr:cNvPr id="69" name="TextBox 68"/>
        <xdr:cNvSpPr txBox="1"/>
      </xdr:nvSpPr>
      <xdr:spPr>
        <a:xfrm>
          <a:off x="59531" y="3759274"/>
          <a:ext cx="1188000" cy="28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lumMod val="95000"/>
                </a:schemeClr>
              </a:solidFill>
              <a:latin typeface="+mn-lt"/>
            </a:rPr>
            <a:t>python</a:t>
          </a:r>
        </a:p>
      </xdr:txBody>
    </xdr:sp>
    <xdr:clientData/>
  </xdr:twoCellAnchor>
  <xdr:twoCellAnchor>
    <xdr:from>
      <xdr:col>7</xdr:col>
      <xdr:colOff>0</xdr:colOff>
      <xdr:row>5</xdr:row>
      <xdr:rowOff>71437</xdr:rowOff>
    </xdr:from>
    <xdr:to>
      <xdr:col>11</xdr:col>
      <xdr:colOff>357188</xdr:colOff>
      <xdr:row>12</xdr:row>
      <xdr:rowOff>71438</xdr:rowOff>
    </xdr:to>
    <xdr:sp macro="" textlink="">
      <xdr:nvSpPr>
        <xdr:cNvPr id="70" name="Rounded Rectangle 69"/>
        <xdr:cNvSpPr/>
      </xdr:nvSpPr>
      <xdr:spPr>
        <a:xfrm>
          <a:off x="4250531" y="1321593"/>
          <a:ext cx="2786063" cy="125015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428624</xdr:colOff>
      <xdr:row>7</xdr:row>
      <xdr:rowOff>146472</xdr:rowOff>
    </xdr:from>
    <xdr:to>
      <xdr:col>5</xdr:col>
      <xdr:colOff>130968</xdr:colOff>
      <xdr:row>11</xdr:row>
      <xdr:rowOff>152097</xdr:rowOff>
    </xdr:to>
    <xdr:sp macro="" textlink="Sheet4!H21">
      <xdr:nvSpPr>
        <xdr:cNvPr id="71" name="TextBox 70"/>
        <xdr:cNvSpPr txBox="1"/>
      </xdr:nvSpPr>
      <xdr:spPr>
        <a:xfrm>
          <a:off x="2250280" y="1753816"/>
          <a:ext cx="916782" cy="720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AF847E4-4F64-4D07-9C01-90CAE0DD1BB2}" type="TxLink">
            <a:rPr lang="en-US" sz="2800" b="0" i="0" u="none" strike="noStrike" baseline="0">
              <a:solidFill>
                <a:srgbClr val="000000"/>
              </a:solidFill>
              <a:latin typeface="Calibri"/>
              <a:cs typeface="Calibri"/>
            </a:rPr>
            <a:pPr algn="l"/>
            <a:t>50</a:t>
          </a:fld>
          <a:endParaRPr lang="en-US" sz="3200" b="1" baseline="0">
            <a:solidFill>
              <a:srgbClr val="FFFF00"/>
            </a:solidFill>
            <a:latin typeface="+mn-lt"/>
          </a:endParaRPr>
        </a:p>
      </xdr:txBody>
    </xdr:sp>
    <xdr:clientData/>
  </xdr:twoCellAnchor>
  <xdr:twoCellAnchor>
    <xdr:from>
      <xdr:col>2</xdr:col>
      <xdr:colOff>59531</xdr:colOff>
      <xdr:row>11</xdr:row>
      <xdr:rowOff>121321</xdr:rowOff>
    </xdr:from>
    <xdr:to>
      <xdr:col>3</xdr:col>
      <xdr:colOff>172313</xdr:colOff>
      <xdr:row>13</xdr:row>
      <xdr:rowOff>16134</xdr:rowOff>
    </xdr:to>
    <xdr:sp macro="" textlink="Sheet4!M24">
      <xdr:nvSpPr>
        <xdr:cNvPr id="72" name="TextBox 71"/>
        <xdr:cNvSpPr txBox="1"/>
      </xdr:nvSpPr>
      <xdr:spPr>
        <a:xfrm>
          <a:off x="1273969" y="2443040"/>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A945A8F-6FC1-401A-AEC2-B24F723C2099}" type="TxLink">
            <a:rPr lang="en-US" sz="1100" b="1" i="0" u="none" strike="noStrike" baseline="0">
              <a:solidFill>
                <a:srgbClr val="FFFF00"/>
              </a:solidFill>
              <a:latin typeface="Calibri"/>
              <a:cs typeface="Calibri"/>
            </a:rPr>
            <a:pPr algn="l"/>
            <a:t>11</a:t>
          </a:fld>
          <a:endParaRPr lang="en-US" sz="1200" b="1" baseline="0">
            <a:solidFill>
              <a:srgbClr val="FFFF00"/>
            </a:solidFill>
            <a:latin typeface="+mn-lt"/>
          </a:endParaRPr>
        </a:p>
      </xdr:txBody>
    </xdr:sp>
    <xdr:clientData/>
  </xdr:twoCellAnchor>
  <xdr:twoCellAnchor>
    <xdr:from>
      <xdr:col>2</xdr:col>
      <xdr:colOff>59531</xdr:colOff>
      <xdr:row>15</xdr:row>
      <xdr:rowOff>71016</xdr:rowOff>
    </xdr:from>
    <xdr:to>
      <xdr:col>3</xdr:col>
      <xdr:colOff>172313</xdr:colOff>
      <xdr:row>16</xdr:row>
      <xdr:rowOff>144422</xdr:rowOff>
    </xdr:to>
    <xdr:sp macro="" textlink="Sheet4!M26">
      <xdr:nvSpPr>
        <xdr:cNvPr id="73" name="TextBox 72"/>
        <xdr:cNvSpPr txBox="1"/>
      </xdr:nvSpPr>
      <xdr:spPr>
        <a:xfrm>
          <a:off x="1273969" y="3107110"/>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97F5FA8-0A3E-478B-9606-13BFD3700DAD}" type="TxLink">
            <a:rPr lang="en-US" sz="1100" b="1" i="0" u="none" strike="noStrike" baseline="0">
              <a:solidFill>
                <a:srgbClr val="FFFF00"/>
              </a:solidFill>
              <a:latin typeface="Calibri"/>
              <a:cs typeface="Calibri"/>
            </a:rPr>
            <a:pPr algn="l"/>
            <a:t>11</a:t>
          </a:fld>
          <a:endParaRPr lang="en-US" sz="1200" b="1" baseline="0">
            <a:solidFill>
              <a:srgbClr val="FFFF00"/>
            </a:solidFill>
            <a:latin typeface="+mn-lt"/>
          </a:endParaRPr>
        </a:p>
      </xdr:txBody>
    </xdr:sp>
    <xdr:clientData/>
  </xdr:twoCellAnchor>
  <xdr:twoCellAnchor>
    <xdr:from>
      <xdr:col>2</xdr:col>
      <xdr:colOff>59531</xdr:colOff>
      <xdr:row>13</xdr:row>
      <xdr:rowOff>96169</xdr:rowOff>
    </xdr:from>
    <xdr:to>
      <xdr:col>3</xdr:col>
      <xdr:colOff>172313</xdr:colOff>
      <xdr:row>14</xdr:row>
      <xdr:rowOff>169575</xdr:rowOff>
    </xdr:to>
    <xdr:sp macro="" textlink="Sheet4!M25">
      <xdr:nvSpPr>
        <xdr:cNvPr id="74" name="TextBox 73"/>
        <xdr:cNvSpPr txBox="1"/>
      </xdr:nvSpPr>
      <xdr:spPr>
        <a:xfrm>
          <a:off x="1273969" y="2775075"/>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BF1037B8-2F51-4938-9554-EFC452DF7DFF}" type="TxLink">
            <a:rPr lang="en-US" sz="1100" b="1" i="0" u="none" strike="noStrike" baseline="0">
              <a:solidFill>
                <a:srgbClr val="FFFF00"/>
              </a:solidFill>
              <a:latin typeface="Calibri"/>
              <a:cs typeface="Calibri"/>
            </a:rPr>
            <a:pPr algn="l"/>
            <a:t>7</a:t>
          </a:fld>
          <a:endParaRPr lang="en-US" sz="1200" b="1" baseline="0">
            <a:solidFill>
              <a:srgbClr val="FFFF00"/>
            </a:solidFill>
            <a:latin typeface="+mn-lt"/>
          </a:endParaRPr>
        </a:p>
      </xdr:txBody>
    </xdr:sp>
    <xdr:clientData/>
  </xdr:twoCellAnchor>
  <xdr:twoCellAnchor>
    <xdr:from>
      <xdr:col>2</xdr:col>
      <xdr:colOff>59531</xdr:colOff>
      <xdr:row>17</xdr:row>
      <xdr:rowOff>45864</xdr:rowOff>
    </xdr:from>
    <xdr:to>
      <xdr:col>3</xdr:col>
      <xdr:colOff>172313</xdr:colOff>
      <xdr:row>18</xdr:row>
      <xdr:rowOff>119270</xdr:rowOff>
    </xdr:to>
    <xdr:sp macro="" textlink="Sheet4!M26">
      <xdr:nvSpPr>
        <xdr:cNvPr id="75" name="TextBox 74"/>
        <xdr:cNvSpPr txBox="1"/>
      </xdr:nvSpPr>
      <xdr:spPr>
        <a:xfrm>
          <a:off x="1273969" y="3439145"/>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7339CA9-29B6-440A-A25C-BBDDADF6C83C}" type="TxLink">
            <a:rPr lang="en-US" sz="1100" b="1" i="0" u="none" strike="noStrike" baseline="0">
              <a:solidFill>
                <a:srgbClr val="FFFF00"/>
              </a:solidFill>
              <a:latin typeface="Calibri"/>
              <a:cs typeface="Calibri"/>
            </a:rPr>
            <a:pPr algn="l"/>
            <a:t>11</a:t>
          </a:fld>
          <a:endParaRPr lang="en-US" sz="1200" b="1" baseline="0">
            <a:solidFill>
              <a:srgbClr val="FFFF00"/>
            </a:solidFill>
            <a:latin typeface="+mn-lt"/>
          </a:endParaRPr>
        </a:p>
      </xdr:txBody>
    </xdr:sp>
    <xdr:clientData/>
  </xdr:twoCellAnchor>
  <xdr:twoCellAnchor>
    <xdr:from>
      <xdr:col>2</xdr:col>
      <xdr:colOff>59531</xdr:colOff>
      <xdr:row>19</xdr:row>
      <xdr:rowOff>20712</xdr:rowOff>
    </xdr:from>
    <xdr:to>
      <xdr:col>3</xdr:col>
      <xdr:colOff>172313</xdr:colOff>
      <xdr:row>20</xdr:row>
      <xdr:rowOff>94118</xdr:rowOff>
    </xdr:to>
    <xdr:sp macro="" textlink="Sheet4!M27">
      <xdr:nvSpPr>
        <xdr:cNvPr id="76" name="TextBox 75"/>
        <xdr:cNvSpPr txBox="1"/>
      </xdr:nvSpPr>
      <xdr:spPr>
        <a:xfrm>
          <a:off x="1273969" y="3771181"/>
          <a:ext cx="720000"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FF05ECF-AC38-46FD-9E50-0AE98471AF75}" type="TxLink">
            <a:rPr lang="en-US" sz="1100" b="1" i="0" u="none" strike="noStrike" baseline="0">
              <a:solidFill>
                <a:srgbClr val="FFFF00"/>
              </a:solidFill>
              <a:latin typeface="Calibri"/>
              <a:cs typeface="Calibri"/>
            </a:rPr>
            <a:pPr algn="l"/>
            <a:t>9</a:t>
          </a:fld>
          <a:endParaRPr lang="en-US" sz="1200" b="1" baseline="0">
            <a:solidFill>
              <a:srgbClr val="FFFF00"/>
            </a:solidFill>
            <a:latin typeface="+mn-lt"/>
          </a:endParaRPr>
        </a:p>
      </xdr:txBody>
    </xdr:sp>
    <xdr:clientData/>
  </xdr:twoCellAnchor>
  <xdr:twoCellAnchor>
    <xdr:from>
      <xdr:col>0</xdr:col>
      <xdr:colOff>333375</xdr:colOff>
      <xdr:row>7</xdr:row>
      <xdr:rowOff>158378</xdr:rowOff>
    </xdr:from>
    <xdr:to>
      <xdr:col>3</xdr:col>
      <xdr:colOff>154780</xdr:colOff>
      <xdr:row>8</xdr:row>
      <xdr:rowOff>154781</xdr:rowOff>
    </xdr:to>
    <xdr:sp macro="" textlink="">
      <xdr:nvSpPr>
        <xdr:cNvPr id="77" name="TextBox 76"/>
        <xdr:cNvSpPr txBox="1"/>
      </xdr:nvSpPr>
      <xdr:spPr>
        <a:xfrm>
          <a:off x="333375" y="1765722"/>
          <a:ext cx="1643061" cy="174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rgbClr val="FFC000"/>
              </a:solidFill>
              <a:latin typeface="+mn-lt"/>
            </a:rPr>
            <a:t>Skill Breakdown</a:t>
          </a:r>
        </a:p>
      </xdr:txBody>
    </xdr:sp>
    <xdr:clientData/>
  </xdr:twoCellAnchor>
  <xdr:twoCellAnchor>
    <xdr:from>
      <xdr:col>7</xdr:col>
      <xdr:colOff>238125</xdr:colOff>
      <xdr:row>13</xdr:row>
      <xdr:rowOff>51221</xdr:rowOff>
    </xdr:from>
    <xdr:to>
      <xdr:col>10</xdr:col>
      <xdr:colOff>154780</xdr:colOff>
      <xdr:row>14</xdr:row>
      <xdr:rowOff>107156</xdr:rowOff>
    </xdr:to>
    <xdr:sp macro="" textlink="">
      <xdr:nvSpPr>
        <xdr:cNvPr id="78" name="TextBox 77"/>
        <xdr:cNvSpPr txBox="1"/>
      </xdr:nvSpPr>
      <xdr:spPr>
        <a:xfrm>
          <a:off x="4488656" y="2730127"/>
          <a:ext cx="1738312" cy="2345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Salaries</a:t>
          </a:r>
        </a:p>
      </xdr:txBody>
    </xdr:sp>
    <xdr:clientData/>
  </xdr:twoCellAnchor>
  <xdr:twoCellAnchor>
    <xdr:from>
      <xdr:col>3</xdr:col>
      <xdr:colOff>357188</xdr:colOff>
      <xdr:row>13</xdr:row>
      <xdr:rowOff>3594</xdr:rowOff>
    </xdr:from>
    <xdr:to>
      <xdr:col>5</xdr:col>
      <xdr:colOff>142875</xdr:colOff>
      <xdr:row>14</xdr:row>
      <xdr:rowOff>107155</xdr:rowOff>
    </xdr:to>
    <xdr:sp macro="" textlink="">
      <xdr:nvSpPr>
        <xdr:cNvPr id="79" name="TextBox 78"/>
        <xdr:cNvSpPr txBox="1"/>
      </xdr:nvSpPr>
      <xdr:spPr>
        <a:xfrm>
          <a:off x="2178844" y="2682500"/>
          <a:ext cx="1000125" cy="28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male</a:t>
          </a:r>
        </a:p>
      </xdr:txBody>
    </xdr:sp>
    <xdr:clientData/>
  </xdr:twoCellAnchor>
  <xdr:twoCellAnchor>
    <xdr:from>
      <xdr:col>14</xdr:col>
      <xdr:colOff>559593</xdr:colOff>
      <xdr:row>3</xdr:row>
      <xdr:rowOff>11907</xdr:rowOff>
    </xdr:from>
    <xdr:to>
      <xdr:col>16</xdr:col>
      <xdr:colOff>464344</xdr:colOff>
      <xdr:row>4</xdr:row>
      <xdr:rowOff>130967</xdr:rowOff>
    </xdr:to>
    <xdr:sp macro="" textlink="">
      <xdr:nvSpPr>
        <xdr:cNvPr id="80" name="TextBox 79"/>
        <xdr:cNvSpPr txBox="1"/>
      </xdr:nvSpPr>
      <xdr:spPr>
        <a:xfrm>
          <a:off x="9060656" y="904876"/>
          <a:ext cx="1119188" cy="2976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AVERAGE</a:t>
          </a:r>
        </a:p>
      </xdr:txBody>
    </xdr:sp>
    <xdr:clientData/>
  </xdr:twoCellAnchor>
  <xdr:twoCellAnchor>
    <xdr:from>
      <xdr:col>3</xdr:col>
      <xdr:colOff>404814</xdr:colOff>
      <xdr:row>15</xdr:row>
      <xdr:rowOff>78580</xdr:rowOff>
    </xdr:from>
    <xdr:to>
      <xdr:col>4</xdr:col>
      <xdr:colOff>589595</xdr:colOff>
      <xdr:row>19</xdr:row>
      <xdr:rowOff>120205</xdr:rowOff>
    </xdr:to>
    <xdr:graphicFrame macro="">
      <xdr:nvGraphicFramePr>
        <xdr:cNvPr id="81" name="Chart 8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242889</xdr:colOff>
      <xdr:row>15</xdr:row>
      <xdr:rowOff>54767</xdr:rowOff>
    </xdr:from>
    <xdr:to>
      <xdr:col>6</xdr:col>
      <xdr:colOff>427670</xdr:colOff>
      <xdr:row>19</xdr:row>
      <xdr:rowOff>96392</xdr:rowOff>
    </xdr:to>
    <xdr:graphicFrame macro="">
      <xdr:nvGraphicFramePr>
        <xdr:cNvPr id="82" name="Chart 8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511970</xdr:colOff>
      <xdr:row>15</xdr:row>
      <xdr:rowOff>128535</xdr:rowOff>
    </xdr:from>
    <xdr:to>
      <xdr:col>4</xdr:col>
      <xdr:colOff>526247</xdr:colOff>
      <xdr:row>18</xdr:row>
      <xdr:rowOff>153836</xdr:rowOff>
    </xdr:to>
    <xdr:sp macro="" textlink="Sheet4!I19">
      <xdr:nvSpPr>
        <xdr:cNvPr id="83" name="TextBox 82"/>
        <xdr:cNvSpPr txBox="1"/>
      </xdr:nvSpPr>
      <xdr:spPr>
        <a:xfrm>
          <a:off x="2333626" y="3164629"/>
          <a:ext cx="621496" cy="561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B6FE2DA-6884-4346-9A20-C452CD00CEDB}" type="TxLink">
            <a:rPr lang="en-US" sz="1800" b="0" i="0" u="none" strike="noStrike" baseline="0">
              <a:solidFill>
                <a:srgbClr val="000000"/>
              </a:solidFill>
              <a:latin typeface="Calibri"/>
              <a:ea typeface="+mn-ea"/>
              <a:cs typeface="Calibri"/>
            </a:rPr>
            <a:pPr marL="0" indent="0" algn="ctr"/>
            <a:t>52%</a:t>
          </a:fld>
          <a:endParaRPr lang="en-US" sz="1800" b="0" i="0" u="none" strike="noStrike" baseline="0">
            <a:solidFill>
              <a:srgbClr val="000000"/>
            </a:solidFill>
            <a:latin typeface="Calibri"/>
            <a:ea typeface="+mn-ea"/>
            <a:cs typeface="Calibri"/>
          </a:endParaRPr>
        </a:p>
      </xdr:txBody>
    </xdr:sp>
    <xdr:clientData/>
  </xdr:twoCellAnchor>
  <xdr:twoCellAnchor>
    <xdr:from>
      <xdr:col>5</xdr:col>
      <xdr:colOff>321469</xdr:colOff>
      <xdr:row>15</xdr:row>
      <xdr:rowOff>140441</xdr:rowOff>
    </xdr:from>
    <xdr:to>
      <xdr:col>6</xdr:col>
      <xdr:colOff>335746</xdr:colOff>
      <xdr:row>18</xdr:row>
      <xdr:rowOff>165742</xdr:rowOff>
    </xdr:to>
    <xdr:sp macro="" textlink="Sheet4!I20">
      <xdr:nvSpPr>
        <xdr:cNvPr id="84" name="TextBox 83"/>
        <xdr:cNvSpPr txBox="1"/>
      </xdr:nvSpPr>
      <xdr:spPr>
        <a:xfrm>
          <a:off x="3357563" y="3176535"/>
          <a:ext cx="621496" cy="5610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6AD10D-3A5C-49A6-901B-793B95DB13D4}" type="TxLink">
            <a:rPr lang="en-US" sz="1800" b="0" i="0" u="none" strike="noStrike" baseline="0">
              <a:solidFill>
                <a:srgbClr val="000000"/>
              </a:solidFill>
              <a:latin typeface="Calibri"/>
              <a:ea typeface="+mn-ea"/>
              <a:cs typeface="Calibri"/>
            </a:rPr>
            <a:pPr marL="0" indent="0" algn="ctr"/>
            <a:t>48%</a:t>
          </a:fld>
          <a:endParaRPr lang="en-US" sz="1800" b="0" i="0" u="none" strike="noStrike" baseline="0">
            <a:solidFill>
              <a:srgbClr val="000000"/>
            </a:solidFill>
            <a:latin typeface="Calibri"/>
            <a:ea typeface="+mn-ea"/>
            <a:cs typeface="Calibri"/>
          </a:endParaRPr>
        </a:p>
      </xdr:txBody>
    </xdr:sp>
    <xdr:clientData/>
  </xdr:twoCellAnchor>
  <xdr:twoCellAnchor>
    <xdr:from>
      <xdr:col>7</xdr:col>
      <xdr:colOff>23813</xdr:colOff>
      <xdr:row>5</xdr:row>
      <xdr:rowOff>83346</xdr:rowOff>
    </xdr:from>
    <xdr:to>
      <xdr:col>11</xdr:col>
      <xdr:colOff>321469</xdr:colOff>
      <xdr:row>12</xdr:row>
      <xdr:rowOff>119063</xdr:rowOff>
    </xdr:to>
    <xdr:graphicFrame macro="">
      <xdr:nvGraphicFramePr>
        <xdr:cNvPr id="86" name="Chart 8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107153</xdr:colOff>
      <xdr:row>5</xdr:row>
      <xdr:rowOff>59533</xdr:rowOff>
    </xdr:from>
    <xdr:to>
      <xdr:col>10</xdr:col>
      <xdr:colOff>488155</xdr:colOff>
      <xdr:row>7</xdr:row>
      <xdr:rowOff>23811</xdr:rowOff>
    </xdr:to>
    <xdr:sp macro="" textlink="">
      <xdr:nvSpPr>
        <xdr:cNvPr id="87" name="TextBox 86"/>
        <xdr:cNvSpPr txBox="1"/>
      </xdr:nvSpPr>
      <xdr:spPr>
        <a:xfrm>
          <a:off x="4357684" y="1309689"/>
          <a:ext cx="2202659" cy="3214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LEAVES PER JOB TITLES</a:t>
          </a:r>
        </a:p>
      </xdr:txBody>
    </xdr:sp>
    <xdr:clientData/>
  </xdr:twoCellAnchor>
  <xdr:twoCellAnchor>
    <xdr:from>
      <xdr:col>13</xdr:col>
      <xdr:colOff>523875</xdr:colOff>
      <xdr:row>2</xdr:row>
      <xdr:rowOff>83344</xdr:rowOff>
    </xdr:from>
    <xdr:to>
      <xdr:col>15</xdr:col>
      <xdr:colOff>87847</xdr:colOff>
      <xdr:row>5</xdr:row>
      <xdr:rowOff>15563</xdr:rowOff>
    </xdr:to>
    <xdr:sp macro="" textlink="Sheet4!E52">
      <xdr:nvSpPr>
        <xdr:cNvPr id="88" name="TextBox 87"/>
        <xdr:cNvSpPr txBox="1"/>
      </xdr:nvSpPr>
      <xdr:spPr>
        <a:xfrm>
          <a:off x="8417719" y="797719"/>
          <a:ext cx="778409" cy="46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EBBA4F0-E0A9-4CFF-BAB5-033D9148FC86}" type="TxLink">
            <a:rPr lang="en-US" sz="2800" b="0" i="0" u="none" strike="noStrike">
              <a:ln>
                <a:noFill/>
              </a:ln>
              <a:solidFill>
                <a:srgbClr val="000000"/>
              </a:solidFill>
              <a:latin typeface="Calibri"/>
              <a:cs typeface="Calibri"/>
            </a:rPr>
            <a:pPr algn="ctr"/>
            <a:t>2.6</a:t>
          </a:fld>
          <a:endParaRPr lang="en-US" sz="16600" b="1">
            <a:ln>
              <a:noFill/>
            </a:ln>
            <a:solidFill>
              <a:schemeClr val="bg1"/>
            </a:solidFill>
            <a:latin typeface="+mn-lt"/>
          </a:endParaRPr>
        </a:p>
      </xdr:txBody>
    </xdr:sp>
    <xdr:clientData/>
  </xdr:twoCellAnchor>
  <xdr:twoCellAnchor>
    <xdr:from>
      <xdr:col>11</xdr:col>
      <xdr:colOff>404814</xdr:colOff>
      <xdr:row>5</xdr:row>
      <xdr:rowOff>95249</xdr:rowOff>
    </xdr:from>
    <xdr:to>
      <xdr:col>16</xdr:col>
      <xdr:colOff>547688</xdr:colOff>
      <xdr:row>13</xdr:row>
      <xdr:rowOff>11906</xdr:rowOff>
    </xdr:to>
    <xdr:graphicFrame macro="">
      <xdr:nvGraphicFramePr>
        <xdr:cNvPr id="95" name="Chart 9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476251</xdr:colOff>
      <xdr:row>0</xdr:row>
      <xdr:rowOff>71439</xdr:rowOff>
    </xdr:from>
    <xdr:to>
      <xdr:col>16</xdr:col>
      <xdr:colOff>500063</xdr:colOff>
      <xdr:row>3</xdr:row>
      <xdr:rowOff>0</xdr:rowOff>
    </xdr:to>
    <xdr:sp macro="" textlink="">
      <xdr:nvSpPr>
        <xdr:cNvPr id="98" name="TextBox 97"/>
        <xdr:cNvSpPr txBox="1"/>
      </xdr:nvSpPr>
      <xdr:spPr>
        <a:xfrm>
          <a:off x="8370095" y="71439"/>
          <a:ext cx="1845468" cy="46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PERFORMANCE RATING</a:t>
          </a:r>
        </a:p>
      </xdr:txBody>
    </xdr:sp>
    <xdr:clientData/>
  </xdr:twoCellAnchor>
  <xdr:twoCellAnchor>
    <xdr:from>
      <xdr:col>0</xdr:col>
      <xdr:colOff>107156</xdr:colOff>
      <xdr:row>8</xdr:row>
      <xdr:rowOff>16668</xdr:rowOff>
    </xdr:from>
    <xdr:to>
      <xdr:col>0</xdr:col>
      <xdr:colOff>261937</xdr:colOff>
      <xdr:row>8</xdr:row>
      <xdr:rowOff>171449</xdr:rowOff>
    </xdr:to>
    <xdr:sp macro="" textlink="">
      <xdr:nvSpPr>
        <xdr:cNvPr id="11" name="Oval 10"/>
        <xdr:cNvSpPr/>
      </xdr:nvSpPr>
      <xdr:spPr>
        <a:xfrm>
          <a:off x="107156" y="1802606"/>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47626</xdr:colOff>
      <xdr:row>5</xdr:row>
      <xdr:rowOff>130969</xdr:rowOff>
    </xdr:from>
    <xdr:to>
      <xdr:col>7</xdr:col>
      <xdr:colOff>202407</xdr:colOff>
      <xdr:row>6</xdr:row>
      <xdr:rowOff>107156</xdr:rowOff>
    </xdr:to>
    <xdr:sp macro="" textlink="">
      <xdr:nvSpPr>
        <xdr:cNvPr id="102" name="Oval 101"/>
        <xdr:cNvSpPr/>
      </xdr:nvSpPr>
      <xdr:spPr>
        <a:xfrm>
          <a:off x="4298157" y="1381125"/>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35719</xdr:colOff>
      <xdr:row>12</xdr:row>
      <xdr:rowOff>4764</xdr:rowOff>
    </xdr:from>
    <xdr:to>
      <xdr:col>0</xdr:col>
      <xdr:colOff>130969</xdr:colOff>
      <xdr:row>12</xdr:row>
      <xdr:rowOff>107158</xdr:rowOff>
    </xdr:to>
    <xdr:sp macro="" textlink="">
      <xdr:nvSpPr>
        <xdr:cNvPr id="103" name="Oval 102"/>
        <xdr:cNvSpPr/>
      </xdr:nvSpPr>
      <xdr:spPr>
        <a:xfrm>
          <a:off x="35719" y="2505077"/>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10</xdr:row>
      <xdr:rowOff>64296</xdr:rowOff>
    </xdr:from>
    <xdr:to>
      <xdr:col>0</xdr:col>
      <xdr:colOff>119063</xdr:colOff>
      <xdr:row>10</xdr:row>
      <xdr:rowOff>166690</xdr:rowOff>
    </xdr:to>
    <xdr:sp macro="" textlink="">
      <xdr:nvSpPr>
        <xdr:cNvPr id="104" name="Oval 103"/>
        <xdr:cNvSpPr/>
      </xdr:nvSpPr>
      <xdr:spPr>
        <a:xfrm>
          <a:off x="23813" y="2207421"/>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178593</xdr:colOff>
      <xdr:row>13</xdr:row>
      <xdr:rowOff>27407</xdr:rowOff>
    </xdr:from>
    <xdr:to>
      <xdr:col>6</xdr:col>
      <xdr:colOff>571499</xdr:colOff>
      <xdr:row>14</xdr:row>
      <xdr:rowOff>130968</xdr:rowOff>
    </xdr:to>
    <xdr:sp macro="" textlink="">
      <xdr:nvSpPr>
        <xdr:cNvPr id="107" name="TextBox 106"/>
        <xdr:cNvSpPr txBox="1"/>
      </xdr:nvSpPr>
      <xdr:spPr>
        <a:xfrm>
          <a:off x="3214687" y="2706313"/>
          <a:ext cx="1000125" cy="282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baseline="0">
              <a:solidFill>
                <a:srgbClr val="FFC000"/>
              </a:solidFill>
              <a:latin typeface="+mn-lt"/>
            </a:rPr>
            <a:t>Female</a:t>
          </a:r>
        </a:p>
      </xdr:txBody>
    </xdr:sp>
    <xdr:clientData/>
  </xdr:twoCellAnchor>
  <xdr:twoCellAnchor>
    <xdr:from>
      <xdr:col>3</xdr:col>
      <xdr:colOff>440532</xdr:colOff>
      <xdr:row>13</xdr:row>
      <xdr:rowOff>52387</xdr:rowOff>
    </xdr:from>
    <xdr:to>
      <xdr:col>3</xdr:col>
      <xdr:colOff>595313</xdr:colOff>
      <xdr:row>14</xdr:row>
      <xdr:rowOff>28574</xdr:rowOff>
    </xdr:to>
    <xdr:sp macro="" textlink="">
      <xdr:nvSpPr>
        <xdr:cNvPr id="108" name="Oval 107"/>
        <xdr:cNvSpPr/>
      </xdr:nvSpPr>
      <xdr:spPr>
        <a:xfrm>
          <a:off x="2262188" y="2731293"/>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5</xdr:col>
      <xdr:colOff>190500</xdr:colOff>
      <xdr:row>13</xdr:row>
      <xdr:rowOff>64292</xdr:rowOff>
    </xdr:from>
    <xdr:to>
      <xdr:col>5</xdr:col>
      <xdr:colOff>345281</xdr:colOff>
      <xdr:row>14</xdr:row>
      <xdr:rowOff>40479</xdr:rowOff>
    </xdr:to>
    <xdr:sp macro="" textlink="">
      <xdr:nvSpPr>
        <xdr:cNvPr id="109" name="Oval 108"/>
        <xdr:cNvSpPr/>
      </xdr:nvSpPr>
      <xdr:spPr>
        <a:xfrm>
          <a:off x="3226594" y="2743198"/>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3</xdr:col>
      <xdr:colOff>392907</xdr:colOff>
      <xdr:row>6</xdr:row>
      <xdr:rowOff>100010</xdr:rowOff>
    </xdr:from>
    <xdr:to>
      <xdr:col>3</xdr:col>
      <xdr:colOff>547688</xdr:colOff>
      <xdr:row>7</xdr:row>
      <xdr:rowOff>76197</xdr:rowOff>
    </xdr:to>
    <xdr:sp macro="" textlink="">
      <xdr:nvSpPr>
        <xdr:cNvPr id="110" name="Oval 109"/>
        <xdr:cNvSpPr/>
      </xdr:nvSpPr>
      <xdr:spPr>
        <a:xfrm>
          <a:off x="2214563" y="1528760"/>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13</xdr:row>
      <xdr:rowOff>171453</xdr:rowOff>
    </xdr:from>
    <xdr:to>
      <xdr:col>0</xdr:col>
      <xdr:colOff>119063</xdr:colOff>
      <xdr:row>14</xdr:row>
      <xdr:rowOff>95253</xdr:rowOff>
    </xdr:to>
    <xdr:sp macro="" textlink="">
      <xdr:nvSpPr>
        <xdr:cNvPr id="113" name="Oval 112"/>
        <xdr:cNvSpPr/>
      </xdr:nvSpPr>
      <xdr:spPr>
        <a:xfrm>
          <a:off x="23813" y="2850359"/>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15</xdr:row>
      <xdr:rowOff>147640</xdr:rowOff>
    </xdr:from>
    <xdr:to>
      <xdr:col>0</xdr:col>
      <xdr:colOff>119063</xdr:colOff>
      <xdr:row>16</xdr:row>
      <xdr:rowOff>71440</xdr:rowOff>
    </xdr:to>
    <xdr:sp macro="" textlink="">
      <xdr:nvSpPr>
        <xdr:cNvPr id="114" name="Oval 113"/>
        <xdr:cNvSpPr/>
      </xdr:nvSpPr>
      <xdr:spPr>
        <a:xfrm>
          <a:off x="23813" y="3183734"/>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23813</xdr:colOff>
      <xdr:row>17</xdr:row>
      <xdr:rowOff>123829</xdr:rowOff>
    </xdr:from>
    <xdr:to>
      <xdr:col>0</xdr:col>
      <xdr:colOff>119063</xdr:colOff>
      <xdr:row>18</xdr:row>
      <xdr:rowOff>47629</xdr:rowOff>
    </xdr:to>
    <xdr:sp macro="" textlink="">
      <xdr:nvSpPr>
        <xdr:cNvPr id="115" name="Oval 114"/>
        <xdr:cNvSpPr/>
      </xdr:nvSpPr>
      <xdr:spPr>
        <a:xfrm>
          <a:off x="23813" y="3517110"/>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35719</xdr:colOff>
      <xdr:row>19</xdr:row>
      <xdr:rowOff>100015</xdr:rowOff>
    </xdr:from>
    <xdr:to>
      <xdr:col>0</xdr:col>
      <xdr:colOff>130969</xdr:colOff>
      <xdr:row>20</xdr:row>
      <xdr:rowOff>23815</xdr:rowOff>
    </xdr:to>
    <xdr:sp macro="" textlink="">
      <xdr:nvSpPr>
        <xdr:cNvPr id="116" name="Oval 115"/>
        <xdr:cNvSpPr/>
      </xdr:nvSpPr>
      <xdr:spPr>
        <a:xfrm>
          <a:off x="35719" y="3850484"/>
          <a:ext cx="95250" cy="102394"/>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0</xdr:col>
      <xdr:colOff>11907</xdr:colOff>
      <xdr:row>22</xdr:row>
      <xdr:rowOff>64292</xdr:rowOff>
    </xdr:from>
    <xdr:to>
      <xdr:col>0</xdr:col>
      <xdr:colOff>166688</xdr:colOff>
      <xdr:row>23</xdr:row>
      <xdr:rowOff>40479</xdr:rowOff>
    </xdr:to>
    <xdr:sp macro="" textlink="">
      <xdr:nvSpPr>
        <xdr:cNvPr id="117" name="Oval 116"/>
        <xdr:cNvSpPr/>
      </xdr:nvSpPr>
      <xdr:spPr>
        <a:xfrm>
          <a:off x="11907" y="4350542"/>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7</xdr:col>
      <xdr:colOff>535783</xdr:colOff>
      <xdr:row>13</xdr:row>
      <xdr:rowOff>111918</xdr:rowOff>
    </xdr:from>
    <xdr:to>
      <xdr:col>8</xdr:col>
      <xdr:colOff>83345</xdr:colOff>
      <xdr:row>14</xdr:row>
      <xdr:rowOff>88105</xdr:rowOff>
    </xdr:to>
    <xdr:sp macro="" textlink="">
      <xdr:nvSpPr>
        <xdr:cNvPr id="118" name="Oval 117"/>
        <xdr:cNvSpPr/>
      </xdr:nvSpPr>
      <xdr:spPr>
        <a:xfrm>
          <a:off x="4786314" y="2790824"/>
          <a:ext cx="154781" cy="154781"/>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solidFill>
          </a:endParaRPr>
        </a:p>
      </xdr:txBody>
    </xdr:sp>
    <xdr:clientData/>
  </xdr:twoCellAnchor>
  <xdr:twoCellAnchor>
    <xdr:from>
      <xdr:col>4</xdr:col>
      <xdr:colOff>1</xdr:colOff>
      <xdr:row>5</xdr:row>
      <xdr:rowOff>130970</xdr:rowOff>
    </xdr:from>
    <xdr:to>
      <xdr:col>6</xdr:col>
      <xdr:colOff>571499</xdr:colOff>
      <xdr:row>8</xdr:row>
      <xdr:rowOff>119062</xdr:rowOff>
    </xdr:to>
    <xdr:sp macro="" textlink="">
      <xdr:nvSpPr>
        <xdr:cNvPr id="119" name="TextBox 118"/>
        <xdr:cNvSpPr txBox="1"/>
      </xdr:nvSpPr>
      <xdr:spPr>
        <a:xfrm>
          <a:off x="2428876" y="1023939"/>
          <a:ext cx="1785936" cy="523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baseline="0">
              <a:solidFill>
                <a:srgbClr val="FFC000"/>
              </a:solidFill>
              <a:latin typeface="+mn-lt"/>
            </a:rPr>
            <a:t>TOTAL EMPLOYEES</a:t>
          </a:r>
        </a:p>
      </xdr:txBody>
    </xdr:sp>
    <xdr:clientData/>
  </xdr:twoCellAnchor>
  <xdr:twoCellAnchor>
    <xdr:from>
      <xdr:col>12</xdr:col>
      <xdr:colOff>83343</xdr:colOff>
      <xdr:row>5</xdr:row>
      <xdr:rowOff>75035</xdr:rowOff>
    </xdr:from>
    <xdr:to>
      <xdr:col>16</xdr:col>
      <xdr:colOff>119061</xdr:colOff>
      <xdr:row>6</xdr:row>
      <xdr:rowOff>95250</xdr:rowOff>
    </xdr:to>
    <xdr:sp macro="" textlink="">
      <xdr:nvSpPr>
        <xdr:cNvPr id="122" name="TextBox 121"/>
        <xdr:cNvSpPr txBox="1"/>
      </xdr:nvSpPr>
      <xdr:spPr>
        <a:xfrm>
          <a:off x="7369968" y="1325191"/>
          <a:ext cx="2464593" cy="19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baseline="0">
              <a:solidFill>
                <a:srgbClr val="FFC000"/>
              </a:solidFill>
              <a:latin typeface="+mn-lt"/>
            </a:rPr>
            <a:t>REGION DISTRIBUTION</a:t>
          </a:r>
        </a:p>
      </xdr:txBody>
    </xdr:sp>
    <xdr:clientData/>
  </xdr:twoCellAnchor>
  <xdr:twoCellAnchor>
    <xdr:from>
      <xdr:col>0</xdr:col>
      <xdr:colOff>71438</xdr:colOff>
      <xdr:row>0</xdr:row>
      <xdr:rowOff>47625</xdr:rowOff>
    </xdr:from>
    <xdr:to>
      <xdr:col>3</xdr:col>
      <xdr:colOff>116680</xdr:colOff>
      <xdr:row>4</xdr:row>
      <xdr:rowOff>166688</xdr:rowOff>
    </xdr:to>
    <xdr:sp macro="" textlink="">
      <xdr:nvSpPr>
        <xdr:cNvPr id="125" name="Rounded Rectangle 124"/>
        <xdr:cNvSpPr/>
      </xdr:nvSpPr>
      <xdr:spPr>
        <a:xfrm>
          <a:off x="71438" y="47625"/>
          <a:ext cx="1866898" cy="833438"/>
        </a:xfrm>
        <a:prstGeom prst="roundRect">
          <a:avLst>
            <a:gd name="adj" fmla="val 355"/>
          </a:avLst>
        </a:prstGeom>
        <a:solidFill>
          <a:schemeClr val="tx1">
            <a:lumMod val="75000"/>
            <a:lumOff val="2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83344</xdr:colOff>
      <xdr:row>2</xdr:row>
      <xdr:rowOff>23812</xdr:rowOff>
    </xdr:from>
    <xdr:to>
      <xdr:col>3</xdr:col>
      <xdr:colOff>71438</xdr:colOff>
      <xdr:row>4</xdr:row>
      <xdr:rowOff>142875</xdr:rowOff>
    </xdr:to>
    <xdr:sp macro="" textlink="">
      <xdr:nvSpPr>
        <xdr:cNvPr id="126" name="TextBox 125"/>
        <xdr:cNvSpPr txBox="1"/>
      </xdr:nvSpPr>
      <xdr:spPr>
        <a:xfrm>
          <a:off x="83344" y="381000"/>
          <a:ext cx="180975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ANALYSING WORKFORCE</a:t>
          </a:r>
        </a:p>
      </xdr:txBody>
    </xdr:sp>
    <xdr:clientData/>
  </xdr:twoCellAnchor>
  <xdr:twoCellAnchor>
    <xdr:from>
      <xdr:col>0</xdr:col>
      <xdr:colOff>83345</xdr:colOff>
      <xdr:row>0</xdr:row>
      <xdr:rowOff>71439</xdr:rowOff>
    </xdr:from>
    <xdr:to>
      <xdr:col>3</xdr:col>
      <xdr:colOff>107157</xdr:colOff>
      <xdr:row>3</xdr:row>
      <xdr:rowOff>0</xdr:rowOff>
    </xdr:to>
    <xdr:sp macro="" textlink="">
      <xdr:nvSpPr>
        <xdr:cNvPr id="127" name="TextBox 126"/>
        <xdr:cNvSpPr txBox="1"/>
      </xdr:nvSpPr>
      <xdr:spPr>
        <a:xfrm>
          <a:off x="83345" y="71439"/>
          <a:ext cx="1845468" cy="46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HR DASHBOARD</a:t>
          </a:r>
        </a:p>
      </xdr:txBody>
    </xdr:sp>
    <xdr:clientData/>
  </xdr:twoCellAnchor>
  <xdr:twoCellAnchor editAs="oneCell">
    <xdr:from>
      <xdr:col>4</xdr:col>
      <xdr:colOff>523874</xdr:colOff>
      <xdr:row>1</xdr:row>
      <xdr:rowOff>130968</xdr:rowOff>
    </xdr:from>
    <xdr:to>
      <xdr:col>8</xdr:col>
      <xdr:colOff>369092</xdr:colOff>
      <xdr:row>5</xdr:row>
      <xdr:rowOff>59530</xdr:rowOff>
    </xdr:to>
    <mc:AlternateContent xmlns:mc="http://schemas.openxmlformats.org/markup-compatibility/2006" xmlns:a14="http://schemas.microsoft.com/office/drawing/2010/main">
      <mc:Choice Requires="a14">
        <xdr:graphicFrame macro="">
          <xdr:nvGraphicFramePr>
            <xdr:cNvPr id="130"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52749" y="309562"/>
              <a:ext cx="2274093" cy="642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392907</xdr:colOff>
      <xdr:row>0</xdr:row>
      <xdr:rowOff>71438</xdr:rowOff>
    </xdr:from>
    <xdr:to>
      <xdr:col>13</xdr:col>
      <xdr:colOff>428625</xdr:colOff>
      <xdr:row>5</xdr:row>
      <xdr:rowOff>35720</xdr:rowOff>
    </xdr:to>
    <mc:AlternateContent xmlns:mc="http://schemas.openxmlformats.org/markup-compatibility/2006" xmlns:a14="http://schemas.microsoft.com/office/drawing/2010/main">
      <mc:Choice Requires="a14">
        <xdr:graphicFrame macro="">
          <xdr:nvGraphicFramePr>
            <xdr:cNvPr id="131"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5250657" y="71438"/>
              <a:ext cx="3071812" cy="8572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35719</xdr:colOff>
      <xdr:row>0</xdr:row>
      <xdr:rowOff>11907</xdr:rowOff>
    </xdr:from>
    <xdr:to>
      <xdr:col>8</xdr:col>
      <xdr:colOff>107157</xdr:colOff>
      <xdr:row>2</xdr:row>
      <xdr:rowOff>119061</xdr:rowOff>
    </xdr:to>
    <xdr:sp macro="" textlink="">
      <xdr:nvSpPr>
        <xdr:cNvPr id="132" name="TextBox 131"/>
        <xdr:cNvSpPr txBox="1"/>
      </xdr:nvSpPr>
      <xdr:spPr>
        <a:xfrm>
          <a:off x="3071813" y="11907"/>
          <a:ext cx="1893094" cy="464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SLICER BY GENDER</a:t>
          </a:r>
        </a:p>
      </xdr:txBody>
    </xdr:sp>
    <xdr:clientData/>
  </xdr:twoCellAnchor>
  <xdr:twoCellAnchor>
    <xdr:from>
      <xdr:col>9</xdr:col>
      <xdr:colOff>178594</xdr:colOff>
      <xdr:row>0</xdr:row>
      <xdr:rowOff>95250</xdr:rowOff>
    </xdr:from>
    <xdr:to>
      <xdr:col>12</xdr:col>
      <xdr:colOff>250032</xdr:colOff>
      <xdr:row>2</xdr:row>
      <xdr:rowOff>-1</xdr:rowOff>
    </xdr:to>
    <xdr:sp macro="" textlink="">
      <xdr:nvSpPr>
        <xdr:cNvPr id="133" name="TextBox 132"/>
        <xdr:cNvSpPr txBox="1"/>
      </xdr:nvSpPr>
      <xdr:spPr>
        <a:xfrm>
          <a:off x="5643563" y="95250"/>
          <a:ext cx="1893094"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baseline="0">
              <a:solidFill>
                <a:srgbClr val="FFC000"/>
              </a:solidFill>
              <a:latin typeface="+mn-lt"/>
            </a:rPr>
            <a:t>SLICER BY DEPARTMENT</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kython" refreshedDate="45961.84278796296" createdVersion="5" refreshedVersion="5" minRefreshableVersion="3" recordCount="50">
  <cacheSource type="worksheet">
    <worksheetSource name="Table1"/>
  </cacheSource>
  <cacheFields count="21">
    <cacheField name="Employee ID" numFmtId="0">
      <sharedItems containsSemiMixedTypes="0" containsString="0" containsNumber="1" containsInteger="1" minValue="1550" maxValue="9968"/>
    </cacheField>
    <cacheField name="Full Name" numFmtId="0">
      <sharedItems/>
    </cacheField>
    <cacheField name="Gender" numFmtId="0">
      <sharedItems count="2">
        <s v="Female"/>
        <s v="Male"/>
      </sharedItems>
    </cacheField>
    <cacheField name="Age" numFmtId="0">
      <sharedItems containsSemiMixedTypes="0" containsString="0" containsNumber="1" containsInteger="1" minValue="20" maxValue="60" count="27">
        <n v="25"/>
        <n v="27"/>
        <n v="34"/>
        <n v="41"/>
        <n v="56"/>
        <n v="28"/>
        <n v="20"/>
        <n v="58"/>
        <n v="44"/>
        <n v="29"/>
        <n v="23"/>
        <n v="30"/>
        <n v="49"/>
        <n v="60"/>
        <n v="46"/>
        <n v="57"/>
        <n v="24"/>
        <n v="35"/>
        <n v="36"/>
        <n v="31"/>
        <n v="37"/>
        <n v="48"/>
        <n v="45"/>
        <n v="52"/>
        <n v="42"/>
        <n v="21"/>
        <n v="59"/>
      </sharedItems>
    </cacheField>
    <cacheField name="Age range" numFmtId="0">
      <sharedItems count="5">
        <s v="18-25"/>
        <s v="26-35"/>
        <s v="36-45"/>
        <s v="56 &lt;"/>
        <s v="46-55"/>
      </sharedItems>
    </cacheField>
    <cacheField name="Region" numFmtId="0">
      <sharedItems count="5">
        <s v="East"/>
        <s v="Central"/>
        <s v="West"/>
        <s v="South"/>
        <s v="North"/>
      </sharedItems>
    </cacheField>
    <cacheField name="Job Title" numFmtId="0">
      <sharedItems count="5">
        <s v="Manager"/>
        <s v="Designer"/>
        <s v="HR Specialist"/>
        <s v="Developer"/>
        <s v="Analyst"/>
      </sharedItems>
    </cacheField>
    <cacheField name="Department" numFmtId="0">
      <sharedItems count="5">
        <s v="Finance"/>
        <s v="HR"/>
        <s v="Marketing"/>
        <s v="Operations"/>
        <s v="IT"/>
      </sharedItems>
    </cacheField>
    <cacheField name="Manager/Supervisor" numFmtId="0">
      <sharedItems/>
    </cacheField>
    <cacheField name="Date of Hire" numFmtId="0">
      <sharedItems/>
    </cacheField>
    <cacheField name="Employment Status" numFmtId="0">
      <sharedItems count="3">
        <s v="Full-Time"/>
        <s v="Contract"/>
        <s v="Part-Time"/>
      </sharedItems>
    </cacheField>
    <cacheField name="Work Location" numFmtId="0">
      <sharedItems count="3">
        <s v="Head Office"/>
        <s v="Branch Office"/>
        <s v="Remote"/>
      </sharedItems>
    </cacheField>
    <cacheField name="Salary" numFmtId="0">
      <sharedItems containsSemiMixedTypes="0" containsString="0" containsNumber="1" containsInteger="1" minValue="30137" maxValue="98961"/>
    </cacheField>
    <cacheField name="Pay Grade" numFmtId="0">
      <sharedItems/>
    </cacheField>
    <cacheField name="Bonus/Allowances" numFmtId="0">
      <sharedItems containsSemiMixedTypes="0" containsString="0" containsNumber="1" containsInteger="1" minValue="1024" maxValue="9911"/>
    </cacheField>
    <cacheField name="Insurance Details" numFmtId="0">
      <sharedItems/>
    </cacheField>
    <cacheField name="Leave Taken" numFmtId="0">
      <sharedItems containsSemiMixedTypes="0" containsString="0" containsNumber="1" containsInteger="1" minValue="0" maxValue="20"/>
    </cacheField>
    <cacheField name="Performance Rating" numFmtId="0">
      <sharedItems containsSemiMixedTypes="0" containsString="0" containsNumber="1" containsInteger="1" minValue="1" maxValue="5"/>
    </cacheField>
    <cacheField name="Training Programs Attended" numFmtId="0">
      <sharedItems/>
    </cacheField>
    <cacheField name="Skills" numFmtId="0">
      <sharedItems count="5">
        <s v="Design"/>
        <s v="Management"/>
        <s v="Python"/>
        <s v="Communication"/>
        <s v="Excel"/>
      </sharedItems>
    </cacheField>
    <cacheField name="Certification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
  <r>
    <n v="4294"/>
    <s v="Lori Nguyen"/>
    <x v="0"/>
    <x v="0"/>
    <x v="0"/>
    <x v="0"/>
    <x v="0"/>
    <x v="0"/>
    <s v="Luis Reynolds"/>
    <s v="2019-03-15"/>
    <x v="0"/>
    <x v="0"/>
    <n v="53700"/>
    <s v="C"/>
    <n v="1463"/>
    <s v="Health"/>
    <n v="1"/>
    <n v="1"/>
    <s v="Leadership Training"/>
    <x v="0"/>
    <s v="Certified Professional"/>
  </r>
  <r>
    <n v="9116"/>
    <s v="Gary Garcia"/>
    <x v="1"/>
    <x v="1"/>
    <x v="1"/>
    <x v="1"/>
    <x v="1"/>
    <x v="1"/>
    <s v="Ashley Simmons MD"/>
    <s v="2022-12-20"/>
    <x v="0"/>
    <x v="1"/>
    <n v="91091"/>
    <s v="B"/>
    <n v="1024"/>
    <s v="None"/>
    <n v="19"/>
    <n v="4"/>
    <s v="Excel Workshop"/>
    <x v="0"/>
    <s v="Certified Professional"/>
  </r>
  <r>
    <n v="5120"/>
    <s v="Jeremy Nguyen"/>
    <x v="1"/>
    <x v="2"/>
    <x v="1"/>
    <x v="2"/>
    <x v="2"/>
    <x v="2"/>
    <s v="Cassandra Duncan"/>
    <s v="2022-08-10"/>
    <x v="0"/>
    <x v="2"/>
    <n v="57538"/>
    <s v="D"/>
    <n v="1674"/>
    <s v="None"/>
    <n v="8"/>
    <n v="1"/>
    <s v="None"/>
    <x v="1"/>
    <s v="Advanced Training"/>
  </r>
  <r>
    <n v="8071"/>
    <s v="Kimberly Jones"/>
    <x v="0"/>
    <x v="3"/>
    <x v="2"/>
    <x v="2"/>
    <x v="0"/>
    <x v="3"/>
    <s v="Janet Harris"/>
    <s v="2024-09-03"/>
    <x v="1"/>
    <x v="0"/>
    <n v="62993"/>
    <s v="A"/>
    <n v="2695"/>
    <s v="Health + Dental"/>
    <n v="0"/>
    <n v="2"/>
    <s v="None"/>
    <x v="2"/>
    <s v="None"/>
  </r>
  <r>
    <n v="9351"/>
    <s v="Anthony Gates"/>
    <x v="1"/>
    <x v="4"/>
    <x v="3"/>
    <x v="0"/>
    <x v="0"/>
    <x v="2"/>
    <s v="Mr. Frank Clay"/>
    <s v="2019-03-14"/>
    <x v="1"/>
    <x v="1"/>
    <n v="45773"/>
    <s v="A"/>
    <n v="8776"/>
    <s v="Health"/>
    <n v="16"/>
    <n v="4"/>
    <s v="Leadership Training"/>
    <x v="2"/>
    <s v="None"/>
  </r>
  <r>
    <n v="2873"/>
    <s v="Courtney Foster"/>
    <x v="0"/>
    <x v="5"/>
    <x v="1"/>
    <x v="2"/>
    <x v="3"/>
    <x v="2"/>
    <s v="Dorothy Price"/>
    <s v="2017-01-23"/>
    <x v="0"/>
    <x v="1"/>
    <n v="96249"/>
    <s v="C"/>
    <n v="4826"/>
    <s v="Health + Dental"/>
    <n v="7"/>
    <n v="3"/>
    <s v="Leadership Training"/>
    <x v="3"/>
    <s v="Certified Professional"/>
  </r>
  <r>
    <n v="3540"/>
    <s v="Catherine Hall"/>
    <x v="0"/>
    <x v="6"/>
    <x v="0"/>
    <x v="1"/>
    <x v="2"/>
    <x v="2"/>
    <s v="Michele Sexton"/>
    <s v="2024-08-17"/>
    <x v="0"/>
    <x v="2"/>
    <n v="61596"/>
    <s v="C"/>
    <n v="8818"/>
    <s v="Health + Dental"/>
    <n v="4"/>
    <n v="2"/>
    <s v="Leadership Training"/>
    <x v="1"/>
    <s v="None"/>
  </r>
  <r>
    <n v="3653"/>
    <s v="Deanna Ball"/>
    <x v="0"/>
    <x v="7"/>
    <x v="3"/>
    <x v="3"/>
    <x v="1"/>
    <x v="4"/>
    <s v="Richard Schmidt"/>
    <s v="2014-12-09"/>
    <x v="0"/>
    <x v="2"/>
    <n v="97869"/>
    <s v="A"/>
    <n v="1966"/>
    <s v="Health"/>
    <n v="10"/>
    <n v="1"/>
    <s v="Leadership Training"/>
    <x v="0"/>
    <s v="Certified Professional"/>
  </r>
  <r>
    <n v="5587"/>
    <s v="Candace Nelson"/>
    <x v="0"/>
    <x v="8"/>
    <x v="2"/>
    <x v="3"/>
    <x v="2"/>
    <x v="2"/>
    <s v="Teresa Pearson"/>
    <s v="2021-06-28"/>
    <x v="0"/>
    <x v="0"/>
    <n v="81235"/>
    <s v="A"/>
    <n v="6553"/>
    <s v="None"/>
    <n v="16"/>
    <n v="2"/>
    <s v="None"/>
    <x v="1"/>
    <s v="Certified Professional"/>
  </r>
  <r>
    <n v="9554"/>
    <s v="Mandy Davis"/>
    <x v="0"/>
    <x v="9"/>
    <x v="1"/>
    <x v="1"/>
    <x v="2"/>
    <x v="3"/>
    <s v="Laura Hart"/>
    <s v="2018-05-20"/>
    <x v="0"/>
    <x v="1"/>
    <n v="87852"/>
    <s v="A"/>
    <n v="4980"/>
    <s v="Health + Dental"/>
    <n v="19"/>
    <n v="3"/>
    <s v="None"/>
    <x v="2"/>
    <s v="Certified Professional"/>
  </r>
  <r>
    <n v="6213"/>
    <s v="Matthew Powell"/>
    <x v="1"/>
    <x v="10"/>
    <x v="0"/>
    <x v="3"/>
    <x v="0"/>
    <x v="2"/>
    <s v="Andrea May"/>
    <s v="2017-02-13"/>
    <x v="1"/>
    <x v="1"/>
    <n v="59359"/>
    <s v="A"/>
    <n v="9449"/>
    <s v="Health + Dental"/>
    <n v="20"/>
    <n v="3"/>
    <s v="None"/>
    <x v="1"/>
    <s v="None"/>
  </r>
  <r>
    <n v="9105"/>
    <s v="Bruce Nelson"/>
    <x v="1"/>
    <x v="11"/>
    <x v="1"/>
    <x v="0"/>
    <x v="1"/>
    <x v="0"/>
    <s v="Casey Martin"/>
    <s v="2024-05-05"/>
    <x v="1"/>
    <x v="2"/>
    <n v="81225"/>
    <s v="D"/>
    <n v="6202"/>
    <s v="Health + Dental"/>
    <n v="2"/>
    <n v="2"/>
    <s v="Excel Workshop"/>
    <x v="4"/>
    <s v="Certified Professional"/>
  </r>
  <r>
    <n v="9508"/>
    <s v="Dawn Cole"/>
    <x v="0"/>
    <x v="12"/>
    <x v="4"/>
    <x v="1"/>
    <x v="0"/>
    <x v="0"/>
    <s v="Amber Allen"/>
    <s v="2022-04-19"/>
    <x v="1"/>
    <x v="0"/>
    <n v="32788"/>
    <s v="D"/>
    <n v="4396"/>
    <s v="Health"/>
    <n v="13"/>
    <n v="5"/>
    <s v="None"/>
    <x v="3"/>
    <s v="Advanced Training"/>
  </r>
  <r>
    <n v="2436"/>
    <s v="Tanner Morse"/>
    <x v="1"/>
    <x v="13"/>
    <x v="3"/>
    <x v="4"/>
    <x v="0"/>
    <x v="3"/>
    <s v="Adam Johnson"/>
    <s v="2015-11-16"/>
    <x v="1"/>
    <x v="2"/>
    <n v="70452"/>
    <s v="D"/>
    <n v="9911"/>
    <s v="None"/>
    <n v="2"/>
    <n v="1"/>
    <s v="None"/>
    <x v="3"/>
    <s v="Certified Professional"/>
  </r>
  <r>
    <n v="4441"/>
    <s v="Jose Griffin"/>
    <x v="1"/>
    <x v="14"/>
    <x v="4"/>
    <x v="1"/>
    <x v="3"/>
    <x v="0"/>
    <s v="Nicole Dominguez"/>
    <s v="2023-09-09"/>
    <x v="0"/>
    <x v="1"/>
    <n v="33045"/>
    <s v="B"/>
    <n v="1456"/>
    <s v="None"/>
    <n v="16"/>
    <n v="3"/>
    <s v="Excel Workshop"/>
    <x v="3"/>
    <s v="None"/>
  </r>
  <r>
    <n v="5827"/>
    <s v="Daniel Hawkins"/>
    <x v="1"/>
    <x v="15"/>
    <x v="3"/>
    <x v="2"/>
    <x v="3"/>
    <x v="1"/>
    <s v="Andrew Best"/>
    <s v="2017-12-12"/>
    <x v="2"/>
    <x v="2"/>
    <n v="96429"/>
    <s v="C"/>
    <n v="4740"/>
    <s v="None"/>
    <n v="8"/>
    <n v="1"/>
    <s v="Excel Workshop"/>
    <x v="2"/>
    <s v="None"/>
  </r>
  <r>
    <n v="5184"/>
    <s v="Elaine Mcclain"/>
    <x v="0"/>
    <x v="16"/>
    <x v="0"/>
    <x v="1"/>
    <x v="2"/>
    <x v="2"/>
    <s v="Gabrielle Rodriguez"/>
    <s v="2017-03-10"/>
    <x v="2"/>
    <x v="2"/>
    <n v="33183"/>
    <s v="A"/>
    <n v="8114"/>
    <s v="None"/>
    <n v="4"/>
    <n v="2"/>
    <s v="Excel Workshop"/>
    <x v="4"/>
    <s v="Advanced Training"/>
  </r>
  <r>
    <n v="5874"/>
    <s v="Kimberly Jones"/>
    <x v="0"/>
    <x v="17"/>
    <x v="1"/>
    <x v="4"/>
    <x v="3"/>
    <x v="0"/>
    <s v="Allison Harvey"/>
    <s v="2019-03-04"/>
    <x v="2"/>
    <x v="0"/>
    <n v="75065"/>
    <s v="C"/>
    <n v="7123"/>
    <s v="None"/>
    <n v="20"/>
    <n v="2"/>
    <s v="None"/>
    <x v="0"/>
    <s v="Advanced Training"/>
  </r>
  <r>
    <n v="9834"/>
    <s v="Thomas Kramer"/>
    <x v="1"/>
    <x v="3"/>
    <x v="2"/>
    <x v="1"/>
    <x v="1"/>
    <x v="4"/>
    <s v="Tristan Mejia"/>
    <s v="2022-11-20"/>
    <x v="0"/>
    <x v="2"/>
    <n v="32877"/>
    <s v="C"/>
    <n v="6432"/>
    <s v="Health"/>
    <n v="11"/>
    <n v="1"/>
    <s v="None"/>
    <x v="0"/>
    <s v="None"/>
  </r>
  <r>
    <n v="5096"/>
    <s v="Kevin Whitaker"/>
    <x v="1"/>
    <x v="18"/>
    <x v="2"/>
    <x v="1"/>
    <x v="4"/>
    <x v="3"/>
    <s v="Mary Welch"/>
    <s v="2021-03-02"/>
    <x v="0"/>
    <x v="1"/>
    <n v="46811"/>
    <s v="D"/>
    <n v="1567"/>
    <s v="None"/>
    <n v="7"/>
    <n v="3"/>
    <s v="Excel Workshop"/>
    <x v="0"/>
    <s v="Advanced Training"/>
  </r>
  <r>
    <n v="2263"/>
    <s v="Dustin Carter"/>
    <x v="1"/>
    <x v="19"/>
    <x v="1"/>
    <x v="3"/>
    <x v="2"/>
    <x v="1"/>
    <s v="Douglas Miles"/>
    <s v="2021-08-01"/>
    <x v="1"/>
    <x v="1"/>
    <n v="87538"/>
    <s v="C"/>
    <n v="3588"/>
    <s v="Health + Dental"/>
    <n v="11"/>
    <n v="5"/>
    <s v="Excel Workshop"/>
    <x v="2"/>
    <s v="None"/>
  </r>
  <r>
    <n v="6505"/>
    <s v="Nicole Williamson"/>
    <x v="0"/>
    <x v="5"/>
    <x v="1"/>
    <x v="0"/>
    <x v="1"/>
    <x v="4"/>
    <s v="Jessica Fleming"/>
    <s v="2015-08-14"/>
    <x v="0"/>
    <x v="1"/>
    <n v="73002"/>
    <s v="C"/>
    <n v="6296"/>
    <s v="Health"/>
    <n v="2"/>
    <n v="5"/>
    <s v="Excel Workshop"/>
    <x v="1"/>
    <s v="Certified Professional"/>
  </r>
  <r>
    <n v="8626"/>
    <s v="Matthew Knight"/>
    <x v="1"/>
    <x v="20"/>
    <x v="2"/>
    <x v="3"/>
    <x v="1"/>
    <x v="3"/>
    <s v="Christine Lee"/>
    <s v="2015-10-21"/>
    <x v="2"/>
    <x v="2"/>
    <n v="41653"/>
    <s v="D"/>
    <n v="9236"/>
    <s v="None"/>
    <n v="13"/>
    <n v="1"/>
    <s v="Excel Workshop"/>
    <x v="0"/>
    <s v="None"/>
  </r>
  <r>
    <n v="5979"/>
    <s v="Donna Jones"/>
    <x v="0"/>
    <x v="19"/>
    <x v="1"/>
    <x v="0"/>
    <x v="0"/>
    <x v="2"/>
    <s v="Mario Smith DVM"/>
    <s v="2015-03-14"/>
    <x v="1"/>
    <x v="1"/>
    <n v="67582"/>
    <s v="A"/>
    <n v="1375"/>
    <s v="Health"/>
    <n v="20"/>
    <n v="3"/>
    <s v="Excel Workshop"/>
    <x v="1"/>
    <s v="None"/>
  </r>
  <r>
    <n v="3104"/>
    <s v="Carolyn Bullock"/>
    <x v="0"/>
    <x v="10"/>
    <x v="0"/>
    <x v="3"/>
    <x v="1"/>
    <x v="1"/>
    <s v="Joseph Francis"/>
    <s v="2024-05-22"/>
    <x v="2"/>
    <x v="1"/>
    <n v="37351"/>
    <s v="D"/>
    <n v="7858"/>
    <s v="Health + Dental"/>
    <n v="18"/>
    <n v="2"/>
    <s v="Leadership Training"/>
    <x v="1"/>
    <s v="Advanced Training"/>
  </r>
  <r>
    <n v="8967"/>
    <s v="Wendy Gomez"/>
    <x v="0"/>
    <x v="21"/>
    <x v="4"/>
    <x v="4"/>
    <x v="2"/>
    <x v="0"/>
    <s v="Sarah Young"/>
    <s v="2017-03-19"/>
    <x v="0"/>
    <x v="1"/>
    <n v="36721"/>
    <s v="B"/>
    <n v="8820"/>
    <s v="Health + Dental"/>
    <n v="0"/>
    <n v="2"/>
    <s v="Excel Workshop"/>
    <x v="1"/>
    <s v="Certified Professional"/>
  </r>
  <r>
    <n v="5087"/>
    <s v="Michael Thomas"/>
    <x v="1"/>
    <x v="5"/>
    <x v="1"/>
    <x v="2"/>
    <x v="4"/>
    <x v="0"/>
    <s v="Aaron Hart"/>
    <s v="2021-09-15"/>
    <x v="1"/>
    <x v="2"/>
    <n v="46326"/>
    <s v="B"/>
    <n v="9189"/>
    <s v="Health + Dental"/>
    <n v="8"/>
    <n v="4"/>
    <s v="Leadership Training"/>
    <x v="3"/>
    <s v="Advanced Training"/>
  </r>
  <r>
    <n v="3358"/>
    <s v="Kevin Bell"/>
    <x v="1"/>
    <x v="11"/>
    <x v="1"/>
    <x v="1"/>
    <x v="3"/>
    <x v="1"/>
    <s v="Brian Boyd"/>
    <s v="2022-05-09"/>
    <x v="0"/>
    <x v="0"/>
    <n v="59007"/>
    <s v="C"/>
    <n v="3380"/>
    <s v="Health"/>
    <n v="17"/>
    <n v="3"/>
    <s v="None"/>
    <x v="4"/>
    <s v="Certified Professional"/>
  </r>
  <r>
    <n v="8256"/>
    <s v="Richard Landry"/>
    <x v="1"/>
    <x v="14"/>
    <x v="4"/>
    <x v="3"/>
    <x v="0"/>
    <x v="3"/>
    <s v="Steven Krueger"/>
    <s v="2017-06-22"/>
    <x v="0"/>
    <x v="1"/>
    <n v="52020"/>
    <s v="B"/>
    <n v="9585"/>
    <s v="Health + Dental"/>
    <n v="0"/>
    <n v="4"/>
    <s v="Excel Workshop"/>
    <x v="4"/>
    <s v="None"/>
  </r>
  <r>
    <n v="5763"/>
    <s v="George Hurley"/>
    <x v="1"/>
    <x v="8"/>
    <x v="2"/>
    <x v="1"/>
    <x v="2"/>
    <x v="1"/>
    <s v="Debra Williams"/>
    <s v="2020-11-28"/>
    <x v="2"/>
    <x v="1"/>
    <n v="98961"/>
    <s v="D"/>
    <n v="2688"/>
    <s v="Health"/>
    <n v="2"/>
    <n v="5"/>
    <s v="Excel Workshop"/>
    <x v="4"/>
    <s v="Certified Professional"/>
  </r>
  <r>
    <n v="6838"/>
    <s v="Mark Lopez"/>
    <x v="1"/>
    <x v="22"/>
    <x v="2"/>
    <x v="2"/>
    <x v="3"/>
    <x v="2"/>
    <s v="Karen Mitchell"/>
    <s v="2015-08-30"/>
    <x v="2"/>
    <x v="1"/>
    <n v="81943"/>
    <s v="C"/>
    <n v="2255"/>
    <s v="Health"/>
    <n v="18"/>
    <n v="2"/>
    <s v="None"/>
    <x v="2"/>
    <s v="Certified Professional"/>
  </r>
  <r>
    <n v="9544"/>
    <s v="Robert Williams"/>
    <x v="1"/>
    <x v="23"/>
    <x v="4"/>
    <x v="4"/>
    <x v="2"/>
    <x v="1"/>
    <s v="Joseph Sanders"/>
    <s v="2018-10-27"/>
    <x v="2"/>
    <x v="1"/>
    <n v="47627"/>
    <s v="C"/>
    <n v="1221"/>
    <s v="None"/>
    <n v="4"/>
    <n v="3"/>
    <s v="None"/>
    <x v="1"/>
    <s v="None"/>
  </r>
  <r>
    <n v="8012"/>
    <s v="Mary Schmidt"/>
    <x v="0"/>
    <x v="23"/>
    <x v="4"/>
    <x v="0"/>
    <x v="0"/>
    <x v="4"/>
    <s v="Shelly George"/>
    <s v="2018-08-26"/>
    <x v="2"/>
    <x v="1"/>
    <n v="56162"/>
    <s v="D"/>
    <n v="6560"/>
    <s v="Health + Dental"/>
    <n v="9"/>
    <n v="4"/>
    <s v="Excel Workshop"/>
    <x v="3"/>
    <s v="None"/>
  </r>
  <r>
    <n v="9374"/>
    <s v="Mary Martinez"/>
    <x v="0"/>
    <x v="24"/>
    <x v="2"/>
    <x v="1"/>
    <x v="2"/>
    <x v="2"/>
    <s v="Nicole Houston"/>
    <s v="2023-07-24"/>
    <x v="1"/>
    <x v="2"/>
    <n v="95734"/>
    <s v="C"/>
    <n v="4854"/>
    <s v="Health"/>
    <n v="13"/>
    <n v="2"/>
    <s v="Leadership Training"/>
    <x v="0"/>
    <s v="Certified Professional"/>
  </r>
  <r>
    <n v="3487"/>
    <s v="Paul Hall"/>
    <x v="1"/>
    <x v="7"/>
    <x v="3"/>
    <x v="1"/>
    <x v="1"/>
    <x v="3"/>
    <s v="Kristin Shaffer"/>
    <s v="2018-07-09"/>
    <x v="1"/>
    <x v="2"/>
    <n v="74789"/>
    <s v="C"/>
    <n v="8101"/>
    <s v="Health + Dental"/>
    <n v="14"/>
    <n v="5"/>
    <s v="Excel Workshop"/>
    <x v="2"/>
    <s v="None"/>
  </r>
  <r>
    <n v="8445"/>
    <s v="Samantha Foster"/>
    <x v="0"/>
    <x v="16"/>
    <x v="0"/>
    <x v="4"/>
    <x v="0"/>
    <x v="3"/>
    <s v="Joel Aguilar"/>
    <s v="2016-12-21"/>
    <x v="0"/>
    <x v="2"/>
    <n v="30137"/>
    <s v="B"/>
    <n v="4031"/>
    <s v="None"/>
    <n v="5"/>
    <n v="3"/>
    <s v="None"/>
    <x v="1"/>
    <s v="Certified Professional"/>
  </r>
  <r>
    <n v="1550"/>
    <s v="Timothy Aguilar"/>
    <x v="1"/>
    <x v="25"/>
    <x v="0"/>
    <x v="1"/>
    <x v="0"/>
    <x v="0"/>
    <s v="Michael Wade"/>
    <s v="2019-06-27"/>
    <x v="0"/>
    <x v="2"/>
    <n v="95510"/>
    <s v="C"/>
    <n v="6811"/>
    <s v="Health"/>
    <n v="18"/>
    <n v="4"/>
    <s v="Excel Workshop"/>
    <x v="4"/>
    <s v="Certified Professional"/>
  </r>
  <r>
    <n v="9968"/>
    <s v="Charles Andrews"/>
    <x v="1"/>
    <x v="7"/>
    <x v="3"/>
    <x v="1"/>
    <x v="3"/>
    <x v="0"/>
    <s v="Jessica Walsh"/>
    <s v="2021-08-27"/>
    <x v="1"/>
    <x v="0"/>
    <n v="80325"/>
    <s v="B"/>
    <n v="6230"/>
    <s v="Health"/>
    <n v="5"/>
    <n v="4"/>
    <s v="None"/>
    <x v="2"/>
    <s v="Advanced Training"/>
  </r>
  <r>
    <n v="8029"/>
    <s v="Veronica Nelson"/>
    <x v="0"/>
    <x v="15"/>
    <x v="3"/>
    <x v="3"/>
    <x v="4"/>
    <x v="4"/>
    <s v="Kelly Mack"/>
    <s v="2017-05-28"/>
    <x v="2"/>
    <x v="1"/>
    <n v="34109"/>
    <s v="B"/>
    <n v="9232"/>
    <s v="Health"/>
    <n v="13"/>
    <n v="3"/>
    <s v="Leadership Training"/>
    <x v="0"/>
    <s v="Certified Professional"/>
  </r>
  <r>
    <n v="8847"/>
    <s v="Chris Sanchez"/>
    <x v="1"/>
    <x v="3"/>
    <x v="2"/>
    <x v="3"/>
    <x v="3"/>
    <x v="0"/>
    <s v="John Conley"/>
    <s v="2022-01-30"/>
    <x v="2"/>
    <x v="2"/>
    <n v="73330"/>
    <s v="C"/>
    <n v="2276"/>
    <s v="Health + Dental"/>
    <n v="5"/>
    <n v="1"/>
    <s v="None"/>
    <x v="1"/>
    <s v="Advanced Training"/>
  </r>
  <r>
    <n v="1955"/>
    <s v="Cassie Galvan"/>
    <x v="0"/>
    <x v="7"/>
    <x v="3"/>
    <x v="2"/>
    <x v="2"/>
    <x v="1"/>
    <s v="Aaron Baker"/>
    <s v="2017-04-20"/>
    <x v="1"/>
    <x v="2"/>
    <n v="46567"/>
    <s v="A"/>
    <n v="2825"/>
    <s v="Health"/>
    <n v="15"/>
    <n v="3"/>
    <s v="None"/>
    <x v="4"/>
    <s v="Advanced Training"/>
  </r>
  <r>
    <n v="4522"/>
    <s v="Jessica Jones"/>
    <x v="0"/>
    <x v="18"/>
    <x v="2"/>
    <x v="0"/>
    <x v="4"/>
    <x v="0"/>
    <s v="Christopher Bass"/>
    <s v="2019-07-22"/>
    <x v="1"/>
    <x v="1"/>
    <n v="39795"/>
    <s v="A"/>
    <n v="1670"/>
    <s v="None"/>
    <n v="0"/>
    <n v="2"/>
    <s v="Excel Workshop"/>
    <x v="3"/>
    <s v="None"/>
  </r>
  <r>
    <n v="3078"/>
    <s v="Emily Walker"/>
    <x v="0"/>
    <x v="25"/>
    <x v="0"/>
    <x v="0"/>
    <x v="0"/>
    <x v="4"/>
    <s v="Sean Tucker PhD"/>
    <s v="2018-11-29"/>
    <x v="1"/>
    <x v="2"/>
    <n v="59506"/>
    <s v="A"/>
    <n v="4428"/>
    <s v="Health + Dental"/>
    <n v="0"/>
    <n v="1"/>
    <s v="None"/>
    <x v="3"/>
    <s v="Certified Professional"/>
  </r>
  <r>
    <n v="6357"/>
    <s v="Vickie Lewis"/>
    <x v="0"/>
    <x v="14"/>
    <x v="4"/>
    <x v="2"/>
    <x v="1"/>
    <x v="4"/>
    <s v="Jacob Scott"/>
    <s v="2022-11-14"/>
    <x v="1"/>
    <x v="2"/>
    <n v="49058"/>
    <s v="B"/>
    <n v="4396"/>
    <s v="None"/>
    <n v="5"/>
    <n v="1"/>
    <s v="None"/>
    <x v="3"/>
    <s v="None"/>
  </r>
  <r>
    <n v="7951"/>
    <s v="Alexis Clark"/>
    <x v="0"/>
    <x v="18"/>
    <x v="2"/>
    <x v="3"/>
    <x v="2"/>
    <x v="4"/>
    <s v="Joel Park"/>
    <s v="2016-02-23"/>
    <x v="1"/>
    <x v="0"/>
    <n v="98612"/>
    <s v="A"/>
    <n v="1168"/>
    <s v="None"/>
    <n v="9"/>
    <n v="2"/>
    <s v="Excel Workshop"/>
    <x v="0"/>
    <s v="Certified Professional"/>
  </r>
  <r>
    <n v="9228"/>
    <s v="Robert Davis"/>
    <x v="1"/>
    <x v="3"/>
    <x v="2"/>
    <x v="4"/>
    <x v="3"/>
    <x v="1"/>
    <s v="Russell Marshall"/>
    <s v="2018-05-18"/>
    <x v="2"/>
    <x v="1"/>
    <n v="38201"/>
    <s v="A"/>
    <n v="7111"/>
    <s v="Health"/>
    <n v="8"/>
    <n v="4"/>
    <s v="Leadership Training"/>
    <x v="3"/>
    <s v="None"/>
  </r>
  <r>
    <n v="8988"/>
    <s v="Daniel Brown MD"/>
    <x v="1"/>
    <x v="0"/>
    <x v="0"/>
    <x v="0"/>
    <x v="2"/>
    <x v="2"/>
    <s v="James Holden"/>
    <s v="2024-03-09"/>
    <x v="2"/>
    <x v="1"/>
    <n v="92919"/>
    <s v="D"/>
    <n v="9497"/>
    <s v="Health"/>
    <n v="7"/>
    <n v="2"/>
    <s v="None"/>
    <x v="3"/>
    <s v="Advanced Training"/>
  </r>
  <r>
    <n v="1952"/>
    <s v="Anna Payne"/>
    <x v="0"/>
    <x v="9"/>
    <x v="1"/>
    <x v="4"/>
    <x v="0"/>
    <x v="1"/>
    <s v="Thomas Murphy"/>
    <s v="2024-03-27"/>
    <x v="0"/>
    <x v="2"/>
    <n v="45188"/>
    <s v="A"/>
    <n v="9591"/>
    <s v="Health + Dental"/>
    <n v="18"/>
    <n v="3"/>
    <s v="Leadership Training"/>
    <x v="3"/>
    <s v="None"/>
  </r>
  <r>
    <n v="5760"/>
    <s v="Rhonda Pena"/>
    <x v="0"/>
    <x v="26"/>
    <x v="3"/>
    <x v="2"/>
    <x v="1"/>
    <x v="0"/>
    <s v="Mark Abbott"/>
    <s v="2019-12-23"/>
    <x v="0"/>
    <x v="1"/>
    <n v="34927"/>
    <s v="D"/>
    <n v="6996"/>
    <s v="Health + Dental"/>
    <n v="16"/>
    <n v="1"/>
    <s v="Excel Workshop"/>
    <x v="0"/>
    <s v="Certified Professional"/>
  </r>
  <r>
    <n v="5742"/>
    <s v="Nicole Gonzalez"/>
    <x v="0"/>
    <x v="1"/>
    <x v="1"/>
    <x v="0"/>
    <x v="2"/>
    <x v="3"/>
    <s v="Robin Lynch"/>
    <s v="2016-08-25"/>
    <x v="0"/>
    <x v="1"/>
    <n v="33183"/>
    <s v="A"/>
    <n v="1659"/>
    <s v="None"/>
    <n v="11"/>
    <n v="1"/>
    <s v="Leadership Training"/>
    <x v="2"/>
    <s v="Non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19:E25" firstHeaderRow="1"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Leave Taken"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2:O9" firstHeaderRow="1" firstDataRow="2" firstDataCol="1"/>
  <pivotFields count="21">
    <pivotField showAll="0"/>
    <pivotField dataField="1" showAll="0"/>
    <pivotField axis="axisCol" showAll="0">
      <items count="3">
        <item x="0"/>
        <item x="1"/>
        <item t="default"/>
      </items>
    </pivotField>
    <pivotField showAll="0"/>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3">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2">
          <reference field="4294967294" count="1" selected="0">
            <x v="0"/>
          </reference>
          <reference field="2" count="1" selected="0">
            <x v="1"/>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age range to gender"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G2:J9" firstHeaderRow="1" firstDataRow="2" firstDataCol="1"/>
  <pivotFields count="21">
    <pivotField showAll="0"/>
    <pivotField dataField="1" showAll="0"/>
    <pivotField axis="axisCol" showAll="0">
      <items count="3">
        <item x="0"/>
        <item x="1"/>
        <item t="default"/>
      </items>
    </pivotField>
    <pivotField showAll="0">
      <items count="28">
        <item x="6"/>
        <item x="25"/>
        <item x="10"/>
        <item x="16"/>
        <item x="0"/>
        <item x="1"/>
        <item x="5"/>
        <item x="9"/>
        <item x="11"/>
        <item x="19"/>
        <item x="2"/>
        <item x="17"/>
        <item x="18"/>
        <item x="20"/>
        <item x="3"/>
        <item x="24"/>
        <item x="8"/>
        <item x="22"/>
        <item x="14"/>
        <item x="21"/>
        <item x="12"/>
        <item x="23"/>
        <item x="4"/>
        <item x="15"/>
        <item x="7"/>
        <item x="26"/>
        <item x="13"/>
        <item t="default"/>
      </items>
    </pivotField>
    <pivotField axis="axisRow" showAll="0">
      <items count="6">
        <item x="0"/>
        <item x="1"/>
        <item x="2"/>
        <item x="4"/>
        <item x="3"/>
        <item t="default"/>
      </items>
    </pivotField>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6">
    <i>
      <x/>
    </i>
    <i>
      <x v="1"/>
    </i>
    <i>
      <x v="2"/>
    </i>
    <i>
      <x v="3"/>
    </i>
    <i>
      <x v="4"/>
    </i>
    <i t="grand">
      <x/>
    </i>
  </rowItems>
  <colFields count="1">
    <field x="2"/>
  </colFields>
  <colItems count="3">
    <i>
      <x/>
    </i>
    <i>
      <x v="1"/>
    </i>
    <i t="grand">
      <x/>
    </i>
  </colItems>
  <dataFields count="1">
    <dataField name="Count of Full Name" fld="1" subtotal="count" baseField="0" baseItem="0"/>
  </dataFields>
  <chartFormats count="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2" format="2" series="1">
      <pivotArea type="data" outline="0" fieldPosition="0">
        <references count="2">
          <reference field="4294967294" count="1" selected="0">
            <x v="0"/>
          </reference>
          <reference field="2" count="1" selected="0">
            <x v="0"/>
          </reference>
        </references>
      </pivotArea>
    </chartFormat>
    <chartFormat chart="2" format="3"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salary per department"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2:E8" firstHeaderRow="1" firstDataRow="1" firstDataCol="1"/>
  <pivotFields count="21">
    <pivotField showAll="0"/>
    <pivotField showAll="0"/>
    <pivotField showAll="0">
      <items count="3">
        <item x="0"/>
        <item x="1"/>
        <item t="default"/>
      </items>
    </pivotField>
    <pivotField showAll="0"/>
    <pivotField showAll="0"/>
    <pivotField showAll="0"/>
    <pivotField axis="axisRow" showAll="0">
      <items count="6">
        <item x="4"/>
        <item x="1"/>
        <item x="3"/>
        <item x="2"/>
        <item x="0"/>
        <item t="default"/>
      </items>
    </pivotField>
    <pivotField showAll="0">
      <items count="6">
        <item x="0"/>
        <item x="1"/>
        <item x="4"/>
        <item x="2"/>
        <item x="3"/>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Sum of Salary"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COUNT AS PER STATU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B7" firstHeaderRow="1" firstDataRow="1" firstDataCol="1"/>
  <pivotFields count="21">
    <pivotField dataField="1" showAll="0"/>
    <pivotField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Employee ID" fld="0" subtotal="count" baseField="1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D37:E43" firstHeaderRow="1" firstDataRow="1" firstDataCol="1"/>
  <pivotFields count="21">
    <pivotField showAll="0"/>
    <pivotField showAll="0"/>
    <pivotField showAll="0">
      <items count="3">
        <item x="0"/>
        <item x="1"/>
        <item t="default"/>
      </items>
    </pivotField>
    <pivotField showAll="0"/>
    <pivotField showAll="0"/>
    <pivotField showAll="0"/>
    <pivotField showAll="0"/>
    <pivotField axis="axisRow"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7"/>
  </rowFields>
  <rowItems count="6">
    <i>
      <x/>
    </i>
    <i>
      <x v="1"/>
    </i>
    <i>
      <x v="2"/>
    </i>
    <i>
      <x v="3"/>
    </i>
    <i>
      <x v="4"/>
    </i>
    <i t="grand">
      <x/>
    </i>
  </rowItems>
  <colItems count="1">
    <i/>
  </colItems>
  <dataFields count="1">
    <dataField name="Average of Performance Rating" fld="17" subtotal="average" baseField="7" baseItem="0"/>
  </dataFields>
  <formats count="1">
    <format dxfId="23">
      <pivotArea collapsedLevelsAreSubtotals="1" fieldPosition="0">
        <references count="1">
          <reference field="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G29:H35" firstHeaderRow="1" firstDataRow="1" firstDataCol="1"/>
  <pivotFields count="21">
    <pivotField showAll="0"/>
    <pivotField dataField="1" showAll="0"/>
    <pivotField showAll="0">
      <items count="3">
        <item x="0"/>
        <item x="1"/>
        <item t="default"/>
      </items>
    </pivotField>
    <pivotField showAll="0"/>
    <pivotField showAll="0"/>
    <pivotField axis="axisRow" showAll="0">
      <items count="6">
        <item x="1"/>
        <item x="0"/>
        <item x="4"/>
        <item x="3"/>
        <item x="2"/>
        <item t="default"/>
      </items>
    </pivotField>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employyes skills"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L14:M20" firstHeaderRow="1" firstDataRow="1" firstDataCol="1"/>
  <pivotFields count="21">
    <pivotField showAll="0"/>
    <pivotField dataField="1" showAll="0"/>
    <pivotField showAll="0">
      <items count="3">
        <item x="0"/>
        <item x="1"/>
        <item t="default"/>
      </items>
    </pivotField>
    <pivotField showAll="0"/>
    <pivotField showAll="0"/>
    <pivotField showAll="0"/>
    <pivotField showAll="0"/>
    <pivotField showAll="0">
      <items count="6">
        <item x="0"/>
        <item x="1"/>
        <item x="4"/>
        <item x="2"/>
        <item x="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4"/>
        <item x="1"/>
        <item x="2"/>
        <item t="default"/>
      </items>
    </pivotField>
    <pivotField showAll="0"/>
  </pivotFields>
  <rowFields count="1">
    <field x="19"/>
  </rowFields>
  <rowItems count="6">
    <i>
      <x/>
    </i>
    <i>
      <x v="1"/>
    </i>
    <i>
      <x v="2"/>
    </i>
    <i>
      <x v="3"/>
    </i>
    <i>
      <x v="4"/>
    </i>
    <i t="grand">
      <x/>
    </i>
  </rowItems>
  <colItems count="1">
    <i/>
  </colItems>
  <dataFields count="1">
    <dataField name="Count of Full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salary per department"/>
    <pivotTable tabId="5" name="age range to gender"/>
    <pivotTable tabId="5" name="COUNT AS PER STATUS"/>
    <pivotTable tabId="5" name="employyes skills"/>
    <pivotTable tabId="5" name="PivotTable1"/>
    <pivotTable tabId="5" name="PivotTable2"/>
    <pivotTable tabId="5" name="PivotTable5"/>
    <pivotTable tabId="5" name="PivotTable7"/>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5" name="salary per department"/>
    <pivotTable tabId="5" name="age range to gender"/>
    <pivotTable tabId="5" name="COUNT AS PER STATUS"/>
    <pivotTable tabId="5" name="employyes skills"/>
    <pivotTable tabId="5" name="PivotTable1"/>
    <pivotTable tabId="5" name="PivotTable2"/>
    <pivotTable tabId="5" name="PivotTable5"/>
    <pivotTable tabId="5" name="PivotTable7"/>
  </pivotTables>
  <data>
    <tabular pivotCacheId="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columnCount="2" style="MINE" rowHeight="241300"/>
  <slicer name="Department" cache="Slicer_Department" caption="Department" columnCount="3" style="MINE" rowHeight="241300"/>
</slicers>
</file>

<file path=xl/tables/table1.xml><?xml version="1.0" encoding="utf-8"?>
<table xmlns="http://schemas.openxmlformats.org/spreadsheetml/2006/main" id="2" name="Table2" displayName="Table2" ref="A9:B13" totalsRowShown="0">
  <autoFilter ref="A9:B13"/>
  <tableColumns count="2">
    <tableColumn id="1" name="STATUS"/>
    <tableColumn id="2" name="Count "/>
  </tableColumns>
  <tableStyleInfo name="TableStyleMedium2" showFirstColumn="0" showLastColumn="0" showRowStripes="1" showColumnStripes="0"/>
</table>
</file>

<file path=xl/tables/table2.xml><?xml version="1.0" encoding="utf-8"?>
<table xmlns="http://schemas.openxmlformats.org/spreadsheetml/2006/main" id="1" name="Table1" displayName="Table1" ref="A1:U51" totalsRowShown="0" headerRowDxfId="22" dataDxfId="21">
  <autoFilter ref="A1:U51"/>
  <tableColumns count="21">
    <tableColumn id="1" name="Employee ID" dataDxfId="20"/>
    <tableColumn id="2" name="Full Name" dataDxfId="19"/>
    <tableColumn id="3" name="Gender" dataDxfId="18"/>
    <tableColumn id="4" name="Age" dataDxfId="17"/>
    <tableColumn id="5" name="Age range" dataDxfId="16"/>
    <tableColumn id="6" name="Region" dataDxfId="15"/>
    <tableColumn id="7" name="Job Title" dataDxfId="14"/>
    <tableColumn id="8" name="Department" dataDxfId="13"/>
    <tableColumn id="9" name="Manager/Supervisor" dataDxfId="12"/>
    <tableColumn id="10" name="Date of Hire" dataDxfId="11"/>
    <tableColumn id="11" name="Employment Status" dataDxfId="10"/>
    <tableColumn id="12" name="Work Location" dataDxfId="9"/>
    <tableColumn id="13" name="Salary" dataDxfId="8"/>
    <tableColumn id="14" name="Pay Grade" dataDxfId="7"/>
    <tableColumn id="15" name="Bonus/Allowances" dataDxfId="6"/>
    <tableColumn id="16" name="Insurance Details" dataDxfId="5"/>
    <tableColumn id="17" name="Leave Taken" dataDxfId="4"/>
    <tableColumn id="18" name="Performance Rating" dataDxfId="3"/>
    <tableColumn id="19" name="Training Programs Attended" dataDxfId="2"/>
    <tableColumn id="20" name="Skills" dataDxfId="1"/>
    <tableColumn id="21" name="Certifications"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T11:U21"/>
  <sheetViews>
    <sheetView showGridLines="0" tabSelected="1" zoomScale="80" zoomScaleNormal="80" workbookViewId="0">
      <selection activeCell="S10" sqref="S10"/>
    </sheetView>
  </sheetViews>
  <sheetFormatPr defaultRowHeight="14.25"/>
  <cols>
    <col min="1" max="16384" width="9.140625" style="1"/>
  </cols>
  <sheetData>
    <row r="11" spans="21:21">
      <c r="U11" s="1" t="s">
        <v>223</v>
      </c>
    </row>
    <row r="17" spans="20:20">
      <c r="T17" s="8"/>
    </row>
    <row r="21" spans="20:20">
      <c r="T21" s="1" t="s">
        <v>223</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2"/>
  <sheetViews>
    <sheetView topLeftCell="C1" workbookViewId="0">
      <selection activeCell="P15" sqref="P15"/>
    </sheetView>
  </sheetViews>
  <sheetFormatPr defaultRowHeight="15"/>
  <cols>
    <col min="1" max="1" width="13.140625" bestFit="1" customWidth="1"/>
    <col min="2" max="2" width="20.42578125" customWidth="1"/>
    <col min="3" max="3" width="3.85546875" customWidth="1"/>
    <col min="4" max="4" width="13.140625" bestFit="1" customWidth="1"/>
    <col min="5" max="5" width="29" customWidth="1"/>
    <col min="6" max="6" width="4.85546875" customWidth="1"/>
    <col min="7" max="7" width="13.140625" customWidth="1"/>
    <col min="8" max="8" width="18.28515625" customWidth="1"/>
    <col min="9" max="9" width="5.5703125" customWidth="1"/>
    <col min="10" max="10" width="11.28515625" bestFit="1" customWidth="1"/>
    <col min="12" max="12" width="18.28515625" customWidth="1"/>
    <col min="13" max="13" width="16.28515625" customWidth="1"/>
    <col min="14" max="14" width="5.5703125" customWidth="1"/>
    <col min="15" max="15" width="11.28515625" bestFit="1" customWidth="1"/>
  </cols>
  <sheetData>
    <row r="1" spans="1:15" ht="20.25" customHeight="1">
      <c r="A1" s="16" t="s">
        <v>219</v>
      </c>
      <c r="B1" s="16"/>
      <c r="D1" s="17" t="s">
        <v>221</v>
      </c>
      <c r="E1" s="17"/>
      <c r="G1" s="17" t="s">
        <v>226</v>
      </c>
      <c r="H1" s="17"/>
      <c r="I1" s="17"/>
      <c r="J1" s="17"/>
      <c r="L1" s="18" t="s">
        <v>230</v>
      </c>
      <c r="M1" s="18"/>
    </row>
    <row r="2" spans="1:15">
      <c r="D2" s="5" t="s">
        <v>214</v>
      </c>
      <c r="E2" t="s">
        <v>220</v>
      </c>
      <c r="G2" s="5" t="s">
        <v>224</v>
      </c>
      <c r="H2" s="5" t="s">
        <v>225</v>
      </c>
      <c r="L2" s="5" t="s">
        <v>224</v>
      </c>
      <c r="M2" s="5" t="s">
        <v>225</v>
      </c>
    </row>
    <row r="3" spans="1:15">
      <c r="A3" s="5" t="s">
        <v>214</v>
      </c>
      <c r="B3" t="s">
        <v>216</v>
      </c>
      <c r="D3" s="6" t="s">
        <v>121</v>
      </c>
      <c r="E3" s="7">
        <v>167041</v>
      </c>
      <c r="G3" s="5" t="s">
        <v>214</v>
      </c>
      <c r="H3" t="s">
        <v>22</v>
      </c>
      <c r="I3" t="s">
        <v>37</v>
      </c>
      <c r="J3" t="s">
        <v>215</v>
      </c>
      <c r="L3" s="5" t="s">
        <v>214</v>
      </c>
      <c r="M3" t="s">
        <v>22</v>
      </c>
      <c r="N3" t="s">
        <v>37</v>
      </c>
      <c r="O3" t="s">
        <v>215</v>
      </c>
    </row>
    <row r="4" spans="1:15">
      <c r="A4" s="6" t="s">
        <v>63</v>
      </c>
      <c r="B4" s="7">
        <v>17</v>
      </c>
      <c r="D4" s="6" t="s">
        <v>40</v>
      </c>
      <c r="E4" s="7">
        <v>613842</v>
      </c>
      <c r="G4" s="6" t="s">
        <v>23</v>
      </c>
      <c r="H4" s="7">
        <v>6</v>
      </c>
      <c r="I4" s="7">
        <v>3</v>
      </c>
      <c r="J4" s="7">
        <v>9</v>
      </c>
      <c r="L4" s="6" t="s">
        <v>23</v>
      </c>
      <c r="M4" s="7">
        <v>6</v>
      </c>
      <c r="N4" s="7">
        <v>3</v>
      </c>
      <c r="O4" s="7">
        <v>9</v>
      </c>
    </row>
    <row r="5" spans="1:15">
      <c r="A5" s="6" t="s">
        <v>29</v>
      </c>
      <c r="B5" s="7">
        <v>20</v>
      </c>
      <c r="D5" s="6" t="s">
        <v>72</v>
      </c>
      <c r="E5" s="7">
        <v>633594</v>
      </c>
      <c r="G5" s="6" t="s">
        <v>38</v>
      </c>
      <c r="H5" s="7">
        <v>7</v>
      </c>
      <c r="I5" s="7">
        <v>6</v>
      </c>
      <c r="J5" s="7">
        <v>13</v>
      </c>
      <c r="L5" s="6" t="s">
        <v>38</v>
      </c>
      <c r="M5" s="7">
        <v>7</v>
      </c>
      <c r="N5" s="7">
        <v>6</v>
      </c>
      <c r="O5" s="7">
        <v>13</v>
      </c>
    </row>
    <row r="6" spans="1:15">
      <c r="A6" s="6" t="s">
        <v>111</v>
      </c>
      <c r="B6" s="7">
        <v>13</v>
      </c>
      <c r="D6" s="6" t="s">
        <v>50</v>
      </c>
      <c r="E6" s="7">
        <v>959266</v>
      </c>
      <c r="G6" s="6" t="s">
        <v>59</v>
      </c>
      <c r="H6" s="7">
        <v>5</v>
      </c>
      <c r="I6" s="7">
        <v>7</v>
      </c>
      <c r="J6" s="7">
        <v>12</v>
      </c>
      <c r="L6" s="6" t="s">
        <v>59</v>
      </c>
      <c r="M6" s="7">
        <v>5</v>
      </c>
      <c r="N6" s="7">
        <v>7</v>
      </c>
      <c r="O6" s="7">
        <v>12</v>
      </c>
    </row>
    <row r="7" spans="1:15">
      <c r="A7" s="6" t="s">
        <v>215</v>
      </c>
      <c r="B7" s="7">
        <v>50</v>
      </c>
      <c r="D7" s="6" t="s">
        <v>25</v>
      </c>
      <c r="E7" s="7">
        <v>731170</v>
      </c>
      <c r="G7" s="6" t="s">
        <v>98</v>
      </c>
      <c r="H7" s="7">
        <v>4</v>
      </c>
      <c r="I7" s="7">
        <v>3</v>
      </c>
      <c r="J7" s="7">
        <v>7</v>
      </c>
      <c r="L7" s="6" t="s">
        <v>98</v>
      </c>
      <c r="M7" s="7">
        <v>4</v>
      </c>
      <c r="N7" s="7">
        <v>3</v>
      </c>
      <c r="O7" s="7">
        <v>7</v>
      </c>
    </row>
    <row r="8" spans="1:15">
      <c r="D8" s="6" t="s">
        <v>215</v>
      </c>
      <c r="E8" s="7">
        <v>3104913</v>
      </c>
      <c r="G8" s="6" t="s">
        <v>68</v>
      </c>
      <c r="H8" s="7">
        <v>4</v>
      </c>
      <c r="I8" s="7">
        <v>5</v>
      </c>
      <c r="J8" s="7">
        <v>9</v>
      </c>
      <c r="L8" s="6" t="s">
        <v>68</v>
      </c>
      <c r="M8" s="7">
        <v>4</v>
      </c>
      <c r="N8" s="7">
        <v>5</v>
      </c>
      <c r="O8" s="7">
        <v>9</v>
      </c>
    </row>
    <row r="9" spans="1:15">
      <c r="A9" t="s">
        <v>217</v>
      </c>
      <c r="B9" t="s">
        <v>218</v>
      </c>
      <c r="G9" s="6" t="s">
        <v>215</v>
      </c>
      <c r="H9" s="7">
        <v>26</v>
      </c>
      <c r="I9" s="7">
        <v>24</v>
      </c>
      <c r="J9" s="7">
        <v>50</v>
      </c>
      <c r="L9" s="6" t="s">
        <v>215</v>
      </c>
      <c r="M9" s="7">
        <v>26</v>
      </c>
      <c r="N9" s="7">
        <v>24</v>
      </c>
      <c r="O9" s="7">
        <v>50</v>
      </c>
    </row>
    <row r="10" spans="1:15">
      <c r="A10" t="s">
        <v>63</v>
      </c>
      <c r="B10">
        <f>GETPIVOTDATA("Employee ID",$A$3,"Employment Status",A10)</f>
        <v>17</v>
      </c>
      <c r="D10" s="9" t="s">
        <v>222</v>
      </c>
      <c r="E10" s="9" t="s">
        <v>220</v>
      </c>
      <c r="L10" s="9" t="s">
        <v>30</v>
      </c>
      <c r="M10" s="9" t="e">
        <f t="shared" ref="M10:M11" si="0">GETPIVOTDATA("Full Name",$L$2,"Work Location",L10)</f>
        <v>#REF!</v>
      </c>
      <c r="N10" s="13" t="e">
        <f t="shared" ref="N10:N11" si="1">SUM(M10)/SUM($M$9:$M$11)</f>
        <v>#REF!</v>
      </c>
      <c r="O10" s="14" t="e">
        <f t="shared" ref="O10:O11" si="2">1-N10</f>
        <v>#REF!</v>
      </c>
    </row>
    <row r="11" spans="1:15">
      <c r="A11" t="s">
        <v>29</v>
      </c>
      <c r="B11">
        <f t="shared" ref="B11:B12" si="3">GETPIVOTDATA("Employee ID",$A$3,"Employment Status",A11)</f>
        <v>20</v>
      </c>
      <c r="D11" s="9" t="s">
        <v>121</v>
      </c>
      <c r="E11" s="9">
        <f>GETPIVOTDATA("Salary",$D$2,"Job Title",D11)</f>
        <v>167041</v>
      </c>
      <c r="G11" s="10" t="s">
        <v>214</v>
      </c>
      <c r="H11" t="s">
        <v>227</v>
      </c>
      <c r="L11" s="9" t="s">
        <v>54</v>
      </c>
      <c r="M11" s="9" t="e">
        <f t="shared" si="0"/>
        <v>#REF!</v>
      </c>
      <c r="N11" s="13" t="e">
        <f t="shared" si="1"/>
        <v>#REF!</v>
      </c>
      <c r="O11" s="14" t="e">
        <f t="shared" si="2"/>
        <v>#REF!</v>
      </c>
    </row>
    <row r="12" spans="1:15">
      <c r="A12" t="s">
        <v>111</v>
      </c>
      <c r="B12">
        <f t="shared" si="3"/>
        <v>13</v>
      </c>
      <c r="D12" s="9" t="s">
        <v>40</v>
      </c>
      <c r="E12" s="9">
        <f t="shared" ref="E12:E15" si="4">GETPIVOTDATA("Salary",$D$2,"Job Title",D12)</f>
        <v>613842</v>
      </c>
      <c r="G12" s="6" t="s">
        <v>23</v>
      </c>
      <c r="H12">
        <f>GETPIVOTDATA("Full Name",$G$2,"Age range",G12)</f>
        <v>9</v>
      </c>
    </row>
    <row r="13" spans="1:15">
      <c r="A13" t="s">
        <v>215</v>
      </c>
      <c r="B13">
        <f>SUM(B10:B12)</f>
        <v>50</v>
      </c>
      <c r="D13" s="9" t="s">
        <v>72</v>
      </c>
      <c r="E13" s="9">
        <f t="shared" si="4"/>
        <v>633594</v>
      </c>
      <c r="G13" s="6" t="s">
        <v>38</v>
      </c>
      <c r="H13">
        <f t="shared" ref="H13:H16" si="5">GETPIVOTDATA("Full Name",$G$2,"Age range",G13)</f>
        <v>13</v>
      </c>
      <c r="L13" s="18" t="s">
        <v>231</v>
      </c>
      <c r="M13" s="18"/>
    </row>
    <row r="14" spans="1:15">
      <c r="D14" s="9" t="s">
        <v>50</v>
      </c>
      <c r="E14" s="9">
        <f t="shared" si="4"/>
        <v>959266</v>
      </c>
      <c r="G14" s="6" t="s">
        <v>59</v>
      </c>
      <c r="H14">
        <f t="shared" si="5"/>
        <v>12</v>
      </c>
      <c r="L14" s="5" t="s">
        <v>214</v>
      </c>
      <c r="M14" t="s">
        <v>224</v>
      </c>
    </row>
    <row r="15" spans="1:15">
      <c r="D15" s="9" t="s">
        <v>25</v>
      </c>
      <c r="E15" s="9">
        <f t="shared" si="4"/>
        <v>731170</v>
      </c>
      <c r="G15" s="6" t="s">
        <v>98</v>
      </c>
      <c r="H15">
        <f t="shared" si="5"/>
        <v>7</v>
      </c>
      <c r="L15" s="6" t="s">
        <v>75</v>
      </c>
      <c r="M15" s="7">
        <v>12</v>
      </c>
    </row>
    <row r="16" spans="1:15">
      <c r="D16" s="9" t="s">
        <v>215</v>
      </c>
      <c r="E16" s="9">
        <f>SUM(E11:E15)</f>
        <v>3104913</v>
      </c>
      <c r="G16" s="6" t="s">
        <v>68</v>
      </c>
      <c r="H16">
        <f t="shared" si="5"/>
        <v>9</v>
      </c>
      <c r="L16" s="6" t="s">
        <v>34</v>
      </c>
      <c r="M16" s="7">
        <v>11</v>
      </c>
    </row>
    <row r="17" spans="4:13">
      <c r="G17" s="11" t="s">
        <v>215</v>
      </c>
      <c r="H17">
        <f>GETPIVOTDATA("Full Name",$G$2)</f>
        <v>50</v>
      </c>
      <c r="L17" s="6" t="s">
        <v>96</v>
      </c>
      <c r="M17" s="7">
        <v>7</v>
      </c>
    </row>
    <row r="18" spans="4:13">
      <c r="L18" s="6" t="s">
        <v>56</v>
      </c>
      <c r="M18" s="7">
        <v>11</v>
      </c>
    </row>
    <row r="19" spans="4:13">
      <c r="D19" s="5" t="s">
        <v>214</v>
      </c>
      <c r="E19" t="s">
        <v>232</v>
      </c>
      <c r="G19" s="6" t="s">
        <v>228</v>
      </c>
      <c r="H19">
        <f>GETPIVOTDATA("Full Name",$G$2,"Gender",G19)</f>
        <v>26</v>
      </c>
      <c r="I19" s="12">
        <f t="shared" ref="I19:I20" si="6">SUM(H19)/SUM($H$19:$H$20)</f>
        <v>0.52</v>
      </c>
      <c r="J19" s="14">
        <f>1-I19</f>
        <v>0.48</v>
      </c>
      <c r="L19" s="6" t="s">
        <v>66</v>
      </c>
      <c r="M19" s="7">
        <v>9</v>
      </c>
    </row>
    <row r="20" spans="4:13">
      <c r="D20" s="6" t="s">
        <v>121</v>
      </c>
      <c r="E20" s="7">
        <v>28</v>
      </c>
      <c r="G20" s="6" t="s">
        <v>229</v>
      </c>
      <c r="H20">
        <f>GETPIVOTDATA("Full Name",$G$2,"Gender",G20)</f>
        <v>24</v>
      </c>
      <c r="I20" s="12">
        <f t="shared" si="6"/>
        <v>0.48</v>
      </c>
      <c r="J20" s="14">
        <f>1-I20</f>
        <v>0.52</v>
      </c>
      <c r="L20" s="6" t="s">
        <v>215</v>
      </c>
      <c r="M20" s="7">
        <v>50</v>
      </c>
    </row>
    <row r="21" spans="4:13">
      <c r="D21" s="6" t="s">
        <v>40</v>
      </c>
      <c r="E21" s="7">
        <v>110</v>
      </c>
      <c r="G21" s="6" t="s">
        <v>227</v>
      </c>
      <c r="H21">
        <f>SUM(H19:H20)</f>
        <v>50</v>
      </c>
    </row>
    <row r="22" spans="4:13">
      <c r="D22" s="6" t="s">
        <v>72</v>
      </c>
      <c r="E22" s="7">
        <v>104</v>
      </c>
      <c r="L22" t="s">
        <v>214</v>
      </c>
      <c r="M22" t="s">
        <v>224</v>
      </c>
    </row>
    <row r="23" spans="4:13">
      <c r="D23" s="6" t="s">
        <v>50</v>
      </c>
      <c r="E23" s="7">
        <v>123</v>
      </c>
      <c r="L23" t="s">
        <v>75</v>
      </c>
      <c r="M23">
        <f>GETPIVOTDATA("Full Name",$L$14,"Skills",L23)</f>
        <v>12</v>
      </c>
    </row>
    <row r="24" spans="4:13">
      <c r="D24" s="6" t="s">
        <v>25</v>
      </c>
      <c r="E24" s="7">
        <v>122</v>
      </c>
      <c r="L24" t="s">
        <v>34</v>
      </c>
      <c r="M24">
        <f t="shared" ref="M24:M27" si="7">GETPIVOTDATA("Full Name",$L$14,"Skills",L24)</f>
        <v>11</v>
      </c>
    </row>
    <row r="25" spans="4:13">
      <c r="D25" s="6" t="s">
        <v>215</v>
      </c>
      <c r="E25" s="7">
        <v>487</v>
      </c>
      <c r="L25" t="s">
        <v>96</v>
      </c>
      <c r="M25">
        <f t="shared" si="7"/>
        <v>7</v>
      </c>
    </row>
    <row r="26" spans="4:13">
      <c r="L26" t="s">
        <v>56</v>
      </c>
      <c r="M26">
        <f t="shared" si="7"/>
        <v>11</v>
      </c>
    </row>
    <row r="27" spans="4:13">
      <c r="D27" t="s">
        <v>233</v>
      </c>
      <c r="E27" t="s">
        <v>232</v>
      </c>
      <c r="L27" t="s">
        <v>66</v>
      </c>
      <c r="M27">
        <f t="shared" si="7"/>
        <v>9</v>
      </c>
    </row>
    <row r="28" spans="4:13">
      <c r="D28" t="s">
        <v>121</v>
      </c>
      <c r="E28">
        <v>28</v>
      </c>
      <c r="L28" t="s">
        <v>215</v>
      </c>
      <c r="M28">
        <f>GETPIVOTDATA("Full Name",$L$14)</f>
        <v>50</v>
      </c>
    </row>
    <row r="29" spans="4:13">
      <c r="D29" t="s">
        <v>40</v>
      </c>
      <c r="E29">
        <v>110</v>
      </c>
      <c r="G29" s="5" t="s">
        <v>214</v>
      </c>
      <c r="H29" t="s">
        <v>224</v>
      </c>
    </row>
    <row r="30" spans="4:13">
      <c r="D30" t="s">
        <v>72</v>
      </c>
      <c r="E30">
        <v>104</v>
      </c>
      <c r="G30" s="6" t="s">
        <v>39</v>
      </c>
      <c r="H30" s="7">
        <v>14</v>
      </c>
    </row>
    <row r="31" spans="4:13">
      <c r="D31" t="s">
        <v>50</v>
      </c>
      <c r="E31">
        <v>123</v>
      </c>
      <c r="G31" s="6" t="s">
        <v>24</v>
      </c>
      <c r="H31" s="7">
        <v>10</v>
      </c>
    </row>
    <row r="32" spans="4:13">
      <c r="D32" t="s">
        <v>25</v>
      </c>
      <c r="E32">
        <v>122</v>
      </c>
      <c r="G32" s="6" t="s">
        <v>102</v>
      </c>
      <c r="H32" s="7">
        <v>7</v>
      </c>
    </row>
    <row r="33" spans="4:8">
      <c r="G33" s="6" t="s">
        <v>80</v>
      </c>
      <c r="H33" s="7">
        <v>10</v>
      </c>
    </row>
    <row r="34" spans="4:8">
      <c r="G34" s="6" t="s">
        <v>49</v>
      </c>
      <c r="H34" s="7">
        <v>9</v>
      </c>
    </row>
    <row r="35" spans="4:8">
      <c r="G35" s="6" t="s">
        <v>215</v>
      </c>
      <c r="H35" s="7">
        <v>50</v>
      </c>
    </row>
    <row r="36" spans="4:8">
      <c r="G36" s="6" t="s">
        <v>234</v>
      </c>
      <c r="H36" t="s">
        <v>235</v>
      </c>
    </row>
    <row r="37" spans="4:8">
      <c r="D37" s="5" t="s">
        <v>214</v>
      </c>
      <c r="E37" t="s">
        <v>236</v>
      </c>
      <c r="G37" t="s">
        <v>39</v>
      </c>
      <c r="H37">
        <v>14</v>
      </c>
    </row>
    <row r="38" spans="4:8">
      <c r="D38" s="6" t="s">
        <v>26</v>
      </c>
      <c r="E38" s="15">
        <v>2.5833333333333335</v>
      </c>
      <c r="G38" t="s">
        <v>24</v>
      </c>
      <c r="H38">
        <v>10</v>
      </c>
    </row>
    <row r="39" spans="4:8">
      <c r="D39" s="6" t="s">
        <v>41</v>
      </c>
      <c r="E39" s="15">
        <v>3.3</v>
      </c>
      <c r="G39" t="s">
        <v>102</v>
      </c>
      <c r="H39">
        <v>7</v>
      </c>
    </row>
    <row r="40" spans="4:8">
      <c r="D40" s="6" t="s">
        <v>81</v>
      </c>
      <c r="E40" s="15">
        <v>2.25</v>
      </c>
      <c r="G40" t="s">
        <v>80</v>
      </c>
      <c r="H40">
        <v>10</v>
      </c>
    </row>
    <row r="41" spans="4:8">
      <c r="D41" s="6" t="s">
        <v>51</v>
      </c>
      <c r="E41" s="15">
        <v>2.3636363636363638</v>
      </c>
      <c r="G41" t="s">
        <v>49</v>
      </c>
      <c r="H41">
        <v>9</v>
      </c>
    </row>
    <row r="42" spans="4:8">
      <c r="D42" s="6" t="s">
        <v>60</v>
      </c>
      <c r="E42" s="15">
        <v>2.5555555555555554</v>
      </c>
    </row>
    <row r="43" spans="4:8">
      <c r="D43" s="6" t="s">
        <v>215</v>
      </c>
      <c r="E43" s="7">
        <v>2.62</v>
      </c>
    </row>
    <row r="46" spans="4:8">
      <c r="D46" t="s">
        <v>214</v>
      </c>
      <c r="E46" t="s">
        <v>236</v>
      </c>
    </row>
    <row r="47" spans="4:8">
      <c r="D47" t="s">
        <v>26</v>
      </c>
      <c r="E47" s="15">
        <v>2.5833333333333335</v>
      </c>
    </row>
    <row r="48" spans="4:8">
      <c r="D48" t="s">
        <v>41</v>
      </c>
      <c r="E48" s="15">
        <v>3.3</v>
      </c>
    </row>
    <row r="49" spans="4:5">
      <c r="D49" t="s">
        <v>81</v>
      </c>
      <c r="E49" s="15">
        <v>2.25</v>
      </c>
    </row>
    <row r="50" spans="4:5">
      <c r="D50" t="s">
        <v>51</v>
      </c>
      <c r="E50" s="15">
        <v>2.3636363636363638</v>
      </c>
    </row>
    <row r="51" spans="4:5">
      <c r="D51" t="s">
        <v>60</v>
      </c>
      <c r="E51" s="15">
        <v>2.5555555555555554</v>
      </c>
    </row>
    <row r="52" spans="4:5">
      <c r="D52" t="s">
        <v>215</v>
      </c>
      <c r="E52" s="15">
        <v>2.62</v>
      </c>
    </row>
  </sheetData>
  <mergeCells count="5">
    <mergeCell ref="A1:B1"/>
    <mergeCell ref="D1:E1"/>
    <mergeCell ref="G1:J1"/>
    <mergeCell ref="L1:M1"/>
    <mergeCell ref="L13:M13"/>
  </mergeCells>
  <pageMargins left="0.7" right="0.7" top="0.75" bottom="0.75" header="0.3" footer="0.3"/>
  <pageSetup orientation="portrait" r:id="rId9"/>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1"/>
  <sheetViews>
    <sheetView topLeftCell="A2" workbookViewId="0">
      <selection activeCell="E8" sqref="E8"/>
    </sheetView>
  </sheetViews>
  <sheetFormatPr defaultColWidth="10.42578125" defaultRowHeight="14.25"/>
  <cols>
    <col min="1" max="1" width="20.28515625" style="3" bestFit="1" customWidth="1"/>
    <col min="2" max="2" width="20.7109375" style="3" bestFit="1" customWidth="1"/>
    <col min="3" max="3" width="14.7109375" style="3" bestFit="1" customWidth="1"/>
    <col min="4" max="4" width="11" style="3" bestFit="1" customWidth="1"/>
    <col min="5" max="5" width="18.140625" style="3" bestFit="1" customWidth="1"/>
    <col min="6" max="6" width="14" style="3" bestFit="1" customWidth="1"/>
    <col min="7" max="7" width="16.140625" style="3" bestFit="1" customWidth="1"/>
    <col min="8" max="8" width="19.85546875" style="3" bestFit="1" customWidth="1"/>
    <col min="9" max="9" width="29.42578125" style="3" bestFit="1" customWidth="1"/>
    <col min="10" max="10" width="20.5703125" style="3" bestFit="1" customWidth="1"/>
    <col min="11" max="11" width="28.5703125" style="3" bestFit="1" customWidth="1"/>
    <col min="12" max="12" width="23.140625" style="3" bestFit="1" customWidth="1"/>
    <col min="13" max="13" width="13.5703125" style="3" bestFit="1" customWidth="1"/>
    <col min="14" max="14" width="18.42578125" style="3" bestFit="1" customWidth="1"/>
    <col min="15" max="15" width="27.42578125" style="3" bestFit="1" customWidth="1"/>
    <col min="16" max="16" width="26" style="3" bestFit="1" customWidth="1"/>
    <col min="17" max="17" width="20.7109375" style="3" bestFit="1" customWidth="1"/>
    <col min="18" max="18" width="29" style="3" bestFit="1" customWidth="1"/>
    <col min="19" max="19" width="38.85546875" style="3" bestFit="1" customWidth="1"/>
    <col min="20" max="20" width="18.28515625" style="3" bestFit="1" customWidth="1"/>
    <col min="21" max="21" width="24.140625" style="3" bestFit="1" customWidth="1"/>
    <col min="22" max="16384" width="10.42578125" style="3"/>
  </cols>
  <sheetData>
    <row r="1" spans="1:21" ht="43.5"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c r="A2" s="4">
        <v>4294</v>
      </c>
      <c r="B2" s="4" t="s">
        <v>21</v>
      </c>
      <c r="C2" s="4" t="s">
        <v>22</v>
      </c>
      <c r="D2" s="4">
        <v>25</v>
      </c>
      <c r="E2" s="4" t="s">
        <v>23</v>
      </c>
      <c r="F2" s="4" t="s">
        <v>24</v>
      </c>
      <c r="G2" s="4" t="s">
        <v>25</v>
      </c>
      <c r="H2" s="4" t="s">
        <v>26</v>
      </c>
      <c r="I2" s="4" t="s">
        <v>27</v>
      </c>
      <c r="J2" s="4" t="s">
        <v>28</v>
      </c>
      <c r="K2" s="4" t="s">
        <v>29</v>
      </c>
      <c r="L2" s="4" t="s">
        <v>30</v>
      </c>
      <c r="M2" s="4">
        <v>53700</v>
      </c>
      <c r="N2" s="4" t="s">
        <v>31</v>
      </c>
      <c r="O2" s="4">
        <v>1463</v>
      </c>
      <c r="P2" s="4" t="s">
        <v>32</v>
      </c>
      <c r="Q2" s="4">
        <v>1</v>
      </c>
      <c r="R2" s="4">
        <v>1</v>
      </c>
      <c r="S2" s="4" t="s">
        <v>33</v>
      </c>
      <c r="T2" s="4" t="s">
        <v>34</v>
      </c>
      <c r="U2" s="4" t="s">
        <v>35</v>
      </c>
    </row>
    <row r="3" spans="1:21">
      <c r="A3" s="4">
        <v>9116</v>
      </c>
      <c r="B3" s="4" t="s">
        <v>36</v>
      </c>
      <c r="C3" s="4" t="s">
        <v>37</v>
      </c>
      <c r="D3" s="4">
        <v>27</v>
      </c>
      <c r="E3" s="4" t="s">
        <v>38</v>
      </c>
      <c r="F3" s="4" t="s">
        <v>39</v>
      </c>
      <c r="G3" s="4" t="s">
        <v>40</v>
      </c>
      <c r="H3" s="4" t="s">
        <v>41</v>
      </c>
      <c r="I3" s="4" t="s">
        <v>42</v>
      </c>
      <c r="J3" s="4" t="s">
        <v>43</v>
      </c>
      <c r="K3" s="4" t="s">
        <v>29</v>
      </c>
      <c r="L3" s="4" t="s">
        <v>44</v>
      </c>
      <c r="M3" s="4">
        <v>91091</v>
      </c>
      <c r="N3" s="4" t="s">
        <v>45</v>
      </c>
      <c r="O3" s="4">
        <v>1024</v>
      </c>
      <c r="P3" s="4" t="s">
        <v>46</v>
      </c>
      <c r="Q3" s="4">
        <v>19</v>
      </c>
      <c r="R3" s="4">
        <v>4</v>
      </c>
      <c r="S3" s="4" t="s">
        <v>47</v>
      </c>
      <c r="T3" s="4" t="s">
        <v>34</v>
      </c>
      <c r="U3" s="4" t="s">
        <v>35</v>
      </c>
    </row>
    <row r="4" spans="1:21">
      <c r="A4" s="4">
        <v>5120</v>
      </c>
      <c r="B4" s="4" t="s">
        <v>48</v>
      </c>
      <c r="C4" s="4" t="s">
        <v>37</v>
      </c>
      <c r="D4" s="4">
        <v>34</v>
      </c>
      <c r="E4" s="4" t="s">
        <v>38</v>
      </c>
      <c r="F4" s="4" t="s">
        <v>49</v>
      </c>
      <c r="G4" s="4" t="s">
        <v>50</v>
      </c>
      <c r="H4" s="4" t="s">
        <v>51</v>
      </c>
      <c r="I4" s="4" t="s">
        <v>52</v>
      </c>
      <c r="J4" s="4" t="s">
        <v>53</v>
      </c>
      <c r="K4" s="4" t="s">
        <v>29</v>
      </c>
      <c r="L4" s="4" t="s">
        <v>54</v>
      </c>
      <c r="M4" s="4">
        <v>57538</v>
      </c>
      <c r="N4" s="4" t="s">
        <v>55</v>
      </c>
      <c r="O4" s="4">
        <v>1674</v>
      </c>
      <c r="P4" s="4" t="s">
        <v>46</v>
      </c>
      <c r="Q4" s="4">
        <v>8</v>
      </c>
      <c r="R4" s="4">
        <v>1</v>
      </c>
      <c r="S4" s="4" t="s">
        <v>46</v>
      </c>
      <c r="T4" s="4" t="s">
        <v>56</v>
      </c>
      <c r="U4" s="4" t="s">
        <v>57</v>
      </c>
    </row>
    <row r="5" spans="1:21">
      <c r="A5" s="4">
        <v>8071</v>
      </c>
      <c r="B5" s="4" t="s">
        <v>58</v>
      </c>
      <c r="C5" s="4" t="s">
        <v>22</v>
      </c>
      <c r="D5" s="4">
        <v>41</v>
      </c>
      <c r="E5" s="4" t="s">
        <v>59</v>
      </c>
      <c r="F5" s="4" t="s">
        <v>49</v>
      </c>
      <c r="G5" s="4" t="s">
        <v>25</v>
      </c>
      <c r="H5" s="4" t="s">
        <v>60</v>
      </c>
      <c r="I5" s="4" t="s">
        <v>61</v>
      </c>
      <c r="J5" s="4" t="s">
        <v>62</v>
      </c>
      <c r="K5" s="4" t="s">
        <v>63</v>
      </c>
      <c r="L5" s="4" t="s">
        <v>30</v>
      </c>
      <c r="M5" s="4">
        <v>62993</v>
      </c>
      <c r="N5" s="4" t="s">
        <v>64</v>
      </c>
      <c r="O5" s="4">
        <v>2695</v>
      </c>
      <c r="P5" s="4" t="s">
        <v>65</v>
      </c>
      <c r="Q5" s="4">
        <v>0</v>
      </c>
      <c r="R5" s="4">
        <v>2</v>
      </c>
      <c r="S5" s="4" t="s">
        <v>46</v>
      </c>
      <c r="T5" s="4" t="s">
        <v>66</v>
      </c>
      <c r="U5" s="4" t="s">
        <v>46</v>
      </c>
    </row>
    <row r="6" spans="1:21">
      <c r="A6" s="4">
        <v>9351</v>
      </c>
      <c r="B6" s="4" t="s">
        <v>67</v>
      </c>
      <c r="C6" s="4" t="s">
        <v>37</v>
      </c>
      <c r="D6" s="4">
        <v>56</v>
      </c>
      <c r="E6" s="4" t="s">
        <v>68</v>
      </c>
      <c r="F6" s="4" t="s">
        <v>24</v>
      </c>
      <c r="G6" s="4" t="s">
        <v>25</v>
      </c>
      <c r="H6" s="4" t="s">
        <v>51</v>
      </c>
      <c r="I6" s="4" t="s">
        <v>69</v>
      </c>
      <c r="J6" s="4" t="s">
        <v>70</v>
      </c>
      <c r="K6" s="4" t="s">
        <v>63</v>
      </c>
      <c r="L6" s="4" t="s">
        <v>44</v>
      </c>
      <c r="M6" s="4">
        <v>45773</v>
      </c>
      <c r="N6" s="4" t="s">
        <v>64</v>
      </c>
      <c r="O6" s="4">
        <v>8776</v>
      </c>
      <c r="P6" s="4" t="s">
        <v>32</v>
      </c>
      <c r="Q6" s="4">
        <v>16</v>
      </c>
      <c r="R6" s="4">
        <v>4</v>
      </c>
      <c r="S6" s="4" t="s">
        <v>33</v>
      </c>
      <c r="T6" s="4" t="s">
        <v>66</v>
      </c>
      <c r="U6" s="4" t="s">
        <v>46</v>
      </c>
    </row>
    <row r="7" spans="1:21">
      <c r="A7" s="4">
        <v>2873</v>
      </c>
      <c r="B7" s="4" t="s">
        <v>71</v>
      </c>
      <c r="C7" s="4" t="s">
        <v>22</v>
      </c>
      <c r="D7" s="4">
        <v>28</v>
      </c>
      <c r="E7" s="4" t="s">
        <v>38</v>
      </c>
      <c r="F7" s="4" t="s">
        <v>49</v>
      </c>
      <c r="G7" s="4" t="s">
        <v>72</v>
      </c>
      <c r="H7" s="4" t="s">
        <v>51</v>
      </c>
      <c r="I7" s="4" t="s">
        <v>73</v>
      </c>
      <c r="J7" s="4" t="s">
        <v>74</v>
      </c>
      <c r="K7" s="4" t="s">
        <v>29</v>
      </c>
      <c r="L7" s="4" t="s">
        <v>44</v>
      </c>
      <c r="M7" s="4">
        <v>96249</v>
      </c>
      <c r="N7" s="4" t="s">
        <v>31</v>
      </c>
      <c r="O7" s="4">
        <v>4826</v>
      </c>
      <c r="P7" s="4" t="s">
        <v>65</v>
      </c>
      <c r="Q7" s="4">
        <v>7</v>
      </c>
      <c r="R7" s="4">
        <v>3</v>
      </c>
      <c r="S7" s="4" t="s">
        <v>33</v>
      </c>
      <c r="T7" s="4" t="s">
        <v>75</v>
      </c>
      <c r="U7" s="4" t="s">
        <v>35</v>
      </c>
    </row>
    <row r="8" spans="1:21">
      <c r="A8" s="4">
        <v>3540</v>
      </c>
      <c r="B8" s="4" t="s">
        <v>76</v>
      </c>
      <c r="C8" s="4" t="s">
        <v>22</v>
      </c>
      <c r="D8" s="4">
        <v>20</v>
      </c>
      <c r="E8" s="4" t="s">
        <v>23</v>
      </c>
      <c r="F8" s="4" t="s">
        <v>39</v>
      </c>
      <c r="G8" s="4" t="s">
        <v>50</v>
      </c>
      <c r="H8" s="4" t="s">
        <v>51</v>
      </c>
      <c r="I8" s="4" t="s">
        <v>77</v>
      </c>
      <c r="J8" s="4" t="s">
        <v>78</v>
      </c>
      <c r="K8" s="4" t="s">
        <v>29</v>
      </c>
      <c r="L8" s="4" t="s">
        <v>54</v>
      </c>
      <c r="M8" s="4">
        <v>61596</v>
      </c>
      <c r="N8" s="4" t="s">
        <v>31</v>
      </c>
      <c r="O8" s="4">
        <v>8818</v>
      </c>
      <c r="P8" s="4" t="s">
        <v>65</v>
      </c>
      <c r="Q8" s="4">
        <v>4</v>
      </c>
      <c r="R8" s="4">
        <v>2</v>
      </c>
      <c r="S8" s="4" t="s">
        <v>33</v>
      </c>
      <c r="T8" s="4" t="s">
        <v>56</v>
      </c>
      <c r="U8" s="4" t="s">
        <v>46</v>
      </c>
    </row>
    <row r="9" spans="1:21">
      <c r="A9" s="4">
        <v>3653</v>
      </c>
      <c r="B9" s="4" t="s">
        <v>79</v>
      </c>
      <c r="C9" s="4" t="s">
        <v>22</v>
      </c>
      <c r="D9" s="4">
        <v>58</v>
      </c>
      <c r="E9" s="4" t="s">
        <v>68</v>
      </c>
      <c r="F9" s="4" t="s">
        <v>80</v>
      </c>
      <c r="G9" s="4" t="s">
        <v>40</v>
      </c>
      <c r="H9" s="4" t="s">
        <v>81</v>
      </c>
      <c r="I9" s="4" t="s">
        <v>82</v>
      </c>
      <c r="J9" s="4" t="s">
        <v>83</v>
      </c>
      <c r="K9" s="4" t="s">
        <v>29</v>
      </c>
      <c r="L9" s="4" t="s">
        <v>54</v>
      </c>
      <c r="M9" s="4">
        <v>97869</v>
      </c>
      <c r="N9" s="4" t="s">
        <v>64</v>
      </c>
      <c r="O9" s="4">
        <v>1966</v>
      </c>
      <c r="P9" s="4" t="s">
        <v>32</v>
      </c>
      <c r="Q9" s="4">
        <v>10</v>
      </c>
      <c r="R9" s="4">
        <v>1</v>
      </c>
      <c r="S9" s="4" t="s">
        <v>33</v>
      </c>
      <c r="T9" s="4" t="s">
        <v>34</v>
      </c>
      <c r="U9" s="4" t="s">
        <v>35</v>
      </c>
    </row>
    <row r="10" spans="1:21">
      <c r="A10" s="4">
        <v>5587</v>
      </c>
      <c r="B10" s="4" t="s">
        <v>84</v>
      </c>
      <c r="C10" s="4" t="s">
        <v>22</v>
      </c>
      <c r="D10" s="4">
        <v>44</v>
      </c>
      <c r="E10" s="4" t="s">
        <v>59</v>
      </c>
      <c r="F10" s="4" t="s">
        <v>80</v>
      </c>
      <c r="G10" s="4" t="s">
        <v>50</v>
      </c>
      <c r="H10" s="4" t="s">
        <v>51</v>
      </c>
      <c r="I10" s="4" t="s">
        <v>85</v>
      </c>
      <c r="J10" s="4" t="s">
        <v>86</v>
      </c>
      <c r="K10" s="4" t="s">
        <v>29</v>
      </c>
      <c r="L10" s="4" t="s">
        <v>30</v>
      </c>
      <c r="M10" s="4">
        <v>81235</v>
      </c>
      <c r="N10" s="4" t="s">
        <v>64</v>
      </c>
      <c r="O10" s="4">
        <v>6553</v>
      </c>
      <c r="P10" s="4" t="s">
        <v>46</v>
      </c>
      <c r="Q10" s="4">
        <v>16</v>
      </c>
      <c r="R10" s="4">
        <v>2</v>
      </c>
      <c r="S10" s="4" t="s">
        <v>46</v>
      </c>
      <c r="T10" s="4" t="s">
        <v>56</v>
      </c>
      <c r="U10" s="4" t="s">
        <v>35</v>
      </c>
    </row>
    <row r="11" spans="1:21">
      <c r="A11" s="4">
        <v>9554</v>
      </c>
      <c r="B11" s="4" t="s">
        <v>87</v>
      </c>
      <c r="C11" s="4" t="s">
        <v>22</v>
      </c>
      <c r="D11" s="4">
        <v>29</v>
      </c>
      <c r="E11" s="4" t="s">
        <v>38</v>
      </c>
      <c r="F11" s="4" t="s">
        <v>39</v>
      </c>
      <c r="G11" s="4" t="s">
        <v>50</v>
      </c>
      <c r="H11" s="4" t="s">
        <v>60</v>
      </c>
      <c r="I11" s="4" t="s">
        <v>88</v>
      </c>
      <c r="J11" s="4" t="s">
        <v>89</v>
      </c>
      <c r="K11" s="4" t="s">
        <v>29</v>
      </c>
      <c r="L11" s="4" t="s">
        <v>44</v>
      </c>
      <c r="M11" s="4">
        <v>87852</v>
      </c>
      <c r="N11" s="4" t="s">
        <v>64</v>
      </c>
      <c r="O11" s="4">
        <v>4980</v>
      </c>
      <c r="P11" s="4" t="s">
        <v>65</v>
      </c>
      <c r="Q11" s="4">
        <v>19</v>
      </c>
      <c r="R11" s="4">
        <v>3</v>
      </c>
      <c r="S11" s="4" t="s">
        <v>46</v>
      </c>
      <c r="T11" s="4" t="s">
        <v>66</v>
      </c>
      <c r="U11" s="4" t="s">
        <v>35</v>
      </c>
    </row>
    <row r="12" spans="1:21">
      <c r="A12" s="4">
        <v>6213</v>
      </c>
      <c r="B12" s="4" t="s">
        <v>90</v>
      </c>
      <c r="C12" s="4" t="s">
        <v>37</v>
      </c>
      <c r="D12" s="4">
        <v>23</v>
      </c>
      <c r="E12" s="4" t="s">
        <v>23</v>
      </c>
      <c r="F12" s="4" t="s">
        <v>80</v>
      </c>
      <c r="G12" s="4" t="s">
        <v>25</v>
      </c>
      <c r="H12" s="4" t="s">
        <v>51</v>
      </c>
      <c r="I12" s="4" t="s">
        <v>91</v>
      </c>
      <c r="J12" s="4" t="s">
        <v>92</v>
      </c>
      <c r="K12" s="4" t="s">
        <v>63</v>
      </c>
      <c r="L12" s="4" t="s">
        <v>44</v>
      </c>
      <c r="M12" s="4">
        <v>59359</v>
      </c>
      <c r="N12" s="4" t="s">
        <v>64</v>
      </c>
      <c r="O12" s="4">
        <v>9449</v>
      </c>
      <c r="P12" s="4" t="s">
        <v>65</v>
      </c>
      <c r="Q12" s="4">
        <v>20</v>
      </c>
      <c r="R12" s="4">
        <v>3</v>
      </c>
      <c r="S12" s="4" t="s">
        <v>46</v>
      </c>
      <c r="T12" s="4" t="s">
        <v>56</v>
      </c>
      <c r="U12" s="4" t="s">
        <v>46</v>
      </c>
    </row>
    <row r="13" spans="1:21">
      <c r="A13" s="4">
        <v>9105</v>
      </c>
      <c r="B13" s="4" t="s">
        <v>93</v>
      </c>
      <c r="C13" s="4" t="s">
        <v>37</v>
      </c>
      <c r="D13" s="4">
        <v>30</v>
      </c>
      <c r="E13" s="4" t="s">
        <v>38</v>
      </c>
      <c r="F13" s="4" t="s">
        <v>24</v>
      </c>
      <c r="G13" s="4" t="s">
        <v>40</v>
      </c>
      <c r="H13" s="4" t="s">
        <v>26</v>
      </c>
      <c r="I13" s="4" t="s">
        <v>94</v>
      </c>
      <c r="J13" s="4" t="s">
        <v>95</v>
      </c>
      <c r="K13" s="4" t="s">
        <v>63</v>
      </c>
      <c r="L13" s="4" t="s">
        <v>54</v>
      </c>
      <c r="M13" s="4">
        <v>81225</v>
      </c>
      <c r="N13" s="4" t="s">
        <v>55</v>
      </c>
      <c r="O13" s="4">
        <v>6202</v>
      </c>
      <c r="P13" s="4" t="s">
        <v>65</v>
      </c>
      <c r="Q13" s="4">
        <v>2</v>
      </c>
      <c r="R13" s="4">
        <v>2</v>
      </c>
      <c r="S13" s="4" t="s">
        <v>47</v>
      </c>
      <c r="T13" s="4" t="s">
        <v>96</v>
      </c>
      <c r="U13" s="4" t="s">
        <v>35</v>
      </c>
    </row>
    <row r="14" spans="1:21">
      <c r="A14" s="4">
        <v>9508</v>
      </c>
      <c r="B14" s="4" t="s">
        <v>97</v>
      </c>
      <c r="C14" s="4" t="s">
        <v>22</v>
      </c>
      <c r="D14" s="4">
        <v>49</v>
      </c>
      <c r="E14" s="4" t="s">
        <v>98</v>
      </c>
      <c r="F14" s="4" t="s">
        <v>39</v>
      </c>
      <c r="G14" s="4" t="s">
        <v>25</v>
      </c>
      <c r="H14" s="4" t="s">
        <v>26</v>
      </c>
      <c r="I14" s="4" t="s">
        <v>99</v>
      </c>
      <c r="J14" s="4" t="s">
        <v>100</v>
      </c>
      <c r="K14" s="4" t="s">
        <v>63</v>
      </c>
      <c r="L14" s="4" t="s">
        <v>30</v>
      </c>
      <c r="M14" s="4">
        <v>32788</v>
      </c>
      <c r="N14" s="4" t="s">
        <v>55</v>
      </c>
      <c r="O14" s="4">
        <v>4396</v>
      </c>
      <c r="P14" s="4" t="s">
        <v>32</v>
      </c>
      <c r="Q14" s="4">
        <v>13</v>
      </c>
      <c r="R14" s="4">
        <v>5</v>
      </c>
      <c r="S14" s="4" t="s">
        <v>46</v>
      </c>
      <c r="T14" s="4" t="s">
        <v>75</v>
      </c>
      <c r="U14" s="4" t="s">
        <v>57</v>
      </c>
    </row>
    <row r="15" spans="1:21">
      <c r="A15" s="4">
        <v>2436</v>
      </c>
      <c r="B15" s="4" t="s">
        <v>101</v>
      </c>
      <c r="C15" s="4" t="s">
        <v>37</v>
      </c>
      <c r="D15" s="4">
        <v>60</v>
      </c>
      <c r="E15" s="4" t="s">
        <v>68</v>
      </c>
      <c r="F15" s="4" t="s">
        <v>102</v>
      </c>
      <c r="G15" s="4" t="s">
        <v>25</v>
      </c>
      <c r="H15" s="4" t="s">
        <v>60</v>
      </c>
      <c r="I15" s="4" t="s">
        <v>103</v>
      </c>
      <c r="J15" s="4" t="s">
        <v>104</v>
      </c>
      <c r="K15" s="4" t="s">
        <v>63</v>
      </c>
      <c r="L15" s="4" t="s">
        <v>54</v>
      </c>
      <c r="M15" s="4">
        <v>70452</v>
      </c>
      <c r="N15" s="4" t="s">
        <v>55</v>
      </c>
      <c r="O15" s="4">
        <v>9911</v>
      </c>
      <c r="P15" s="4" t="s">
        <v>46</v>
      </c>
      <c r="Q15" s="4">
        <v>2</v>
      </c>
      <c r="R15" s="4">
        <v>1</v>
      </c>
      <c r="S15" s="4" t="s">
        <v>46</v>
      </c>
      <c r="T15" s="4" t="s">
        <v>75</v>
      </c>
      <c r="U15" s="4" t="s">
        <v>35</v>
      </c>
    </row>
    <row r="16" spans="1:21">
      <c r="A16" s="4">
        <v>4441</v>
      </c>
      <c r="B16" s="4" t="s">
        <v>105</v>
      </c>
      <c r="C16" s="4" t="s">
        <v>37</v>
      </c>
      <c r="D16" s="4">
        <v>46</v>
      </c>
      <c r="E16" s="4" t="s">
        <v>98</v>
      </c>
      <c r="F16" s="4" t="s">
        <v>39</v>
      </c>
      <c r="G16" s="4" t="s">
        <v>72</v>
      </c>
      <c r="H16" s="4" t="s">
        <v>26</v>
      </c>
      <c r="I16" s="4" t="s">
        <v>106</v>
      </c>
      <c r="J16" s="4" t="s">
        <v>107</v>
      </c>
      <c r="K16" s="4" t="s">
        <v>29</v>
      </c>
      <c r="L16" s="4" t="s">
        <v>44</v>
      </c>
      <c r="M16" s="4">
        <v>33045</v>
      </c>
      <c r="N16" s="4" t="s">
        <v>45</v>
      </c>
      <c r="O16" s="4">
        <v>1456</v>
      </c>
      <c r="P16" s="4" t="s">
        <v>46</v>
      </c>
      <c r="Q16" s="4">
        <v>16</v>
      </c>
      <c r="R16" s="4">
        <v>3</v>
      </c>
      <c r="S16" s="4" t="s">
        <v>47</v>
      </c>
      <c r="T16" s="4" t="s">
        <v>75</v>
      </c>
      <c r="U16" s="4" t="s">
        <v>46</v>
      </c>
    </row>
    <row r="17" spans="1:21">
      <c r="A17" s="4">
        <v>5827</v>
      </c>
      <c r="B17" s="4" t="s">
        <v>108</v>
      </c>
      <c r="C17" s="4" t="s">
        <v>37</v>
      </c>
      <c r="D17" s="4">
        <v>57</v>
      </c>
      <c r="E17" s="4" t="s">
        <v>68</v>
      </c>
      <c r="F17" s="4" t="s">
        <v>49</v>
      </c>
      <c r="G17" s="4" t="s">
        <v>72</v>
      </c>
      <c r="H17" s="4" t="s">
        <v>41</v>
      </c>
      <c r="I17" s="4" t="s">
        <v>109</v>
      </c>
      <c r="J17" s="4" t="s">
        <v>110</v>
      </c>
      <c r="K17" s="4" t="s">
        <v>111</v>
      </c>
      <c r="L17" s="4" t="s">
        <v>54</v>
      </c>
      <c r="M17" s="4">
        <v>96429</v>
      </c>
      <c r="N17" s="4" t="s">
        <v>31</v>
      </c>
      <c r="O17" s="4">
        <v>4740</v>
      </c>
      <c r="P17" s="4" t="s">
        <v>46</v>
      </c>
      <c r="Q17" s="4">
        <v>8</v>
      </c>
      <c r="R17" s="4">
        <v>1</v>
      </c>
      <c r="S17" s="4" t="s">
        <v>47</v>
      </c>
      <c r="T17" s="4" t="s">
        <v>66</v>
      </c>
      <c r="U17" s="4" t="s">
        <v>46</v>
      </c>
    </row>
    <row r="18" spans="1:21">
      <c r="A18" s="4">
        <v>5184</v>
      </c>
      <c r="B18" s="4" t="s">
        <v>112</v>
      </c>
      <c r="C18" s="4" t="s">
        <v>22</v>
      </c>
      <c r="D18" s="4">
        <v>24</v>
      </c>
      <c r="E18" s="4" t="s">
        <v>23</v>
      </c>
      <c r="F18" s="4" t="s">
        <v>39</v>
      </c>
      <c r="G18" s="4" t="s">
        <v>50</v>
      </c>
      <c r="H18" s="4" t="s">
        <v>51</v>
      </c>
      <c r="I18" s="4" t="s">
        <v>113</v>
      </c>
      <c r="J18" s="4" t="s">
        <v>114</v>
      </c>
      <c r="K18" s="4" t="s">
        <v>111</v>
      </c>
      <c r="L18" s="4" t="s">
        <v>54</v>
      </c>
      <c r="M18" s="4">
        <v>33183</v>
      </c>
      <c r="N18" s="4" t="s">
        <v>64</v>
      </c>
      <c r="O18" s="4">
        <v>8114</v>
      </c>
      <c r="P18" s="4" t="s">
        <v>46</v>
      </c>
      <c r="Q18" s="4">
        <v>4</v>
      </c>
      <c r="R18" s="4">
        <v>2</v>
      </c>
      <c r="S18" s="4" t="s">
        <v>47</v>
      </c>
      <c r="T18" s="4" t="s">
        <v>96</v>
      </c>
      <c r="U18" s="4" t="s">
        <v>57</v>
      </c>
    </row>
    <row r="19" spans="1:21">
      <c r="A19" s="4">
        <v>5874</v>
      </c>
      <c r="B19" s="4" t="s">
        <v>58</v>
      </c>
      <c r="C19" s="4" t="s">
        <v>22</v>
      </c>
      <c r="D19" s="4">
        <v>35</v>
      </c>
      <c r="E19" s="4" t="s">
        <v>38</v>
      </c>
      <c r="F19" s="4" t="s">
        <v>102</v>
      </c>
      <c r="G19" s="4" t="s">
        <v>72</v>
      </c>
      <c r="H19" s="4" t="s">
        <v>26</v>
      </c>
      <c r="I19" s="4" t="s">
        <v>115</v>
      </c>
      <c r="J19" s="4" t="s">
        <v>116</v>
      </c>
      <c r="K19" s="4" t="s">
        <v>111</v>
      </c>
      <c r="L19" s="4" t="s">
        <v>30</v>
      </c>
      <c r="M19" s="4">
        <v>75065</v>
      </c>
      <c r="N19" s="4" t="s">
        <v>31</v>
      </c>
      <c r="O19" s="4">
        <v>7123</v>
      </c>
      <c r="P19" s="4" t="s">
        <v>46</v>
      </c>
      <c r="Q19" s="4">
        <v>20</v>
      </c>
      <c r="R19" s="4">
        <v>2</v>
      </c>
      <c r="S19" s="4" t="s">
        <v>46</v>
      </c>
      <c r="T19" s="4" t="s">
        <v>34</v>
      </c>
      <c r="U19" s="4" t="s">
        <v>57</v>
      </c>
    </row>
    <row r="20" spans="1:21">
      <c r="A20" s="4">
        <v>9834</v>
      </c>
      <c r="B20" s="4" t="s">
        <v>117</v>
      </c>
      <c r="C20" s="4" t="s">
        <v>37</v>
      </c>
      <c r="D20" s="4">
        <v>41</v>
      </c>
      <c r="E20" s="4" t="s">
        <v>59</v>
      </c>
      <c r="F20" s="4" t="s">
        <v>39</v>
      </c>
      <c r="G20" s="4" t="s">
        <v>40</v>
      </c>
      <c r="H20" s="4" t="s">
        <v>81</v>
      </c>
      <c r="I20" s="4" t="s">
        <v>118</v>
      </c>
      <c r="J20" s="4" t="s">
        <v>119</v>
      </c>
      <c r="K20" s="4" t="s">
        <v>29</v>
      </c>
      <c r="L20" s="4" t="s">
        <v>54</v>
      </c>
      <c r="M20" s="4">
        <v>32877</v>
      </c>
      <c r="N20" s="4" t="s">
        <v>31</v>
      </c>
      <c r="O20" s="4">
        <v>6432</v>
      </c>
      <c r="P20" s="4" t="s">
        <v>32</v>
      </c>
      <c r="Q20" s="4">
        <v>11</v>
      </c>
      <c r="R20" s="4">
        <v>1</v>
      </c>
      <c r="S20" s="4" t="s">
        <v>46</v>
      </c>
      <c r="T20" s="4" t="s">
        <v>34</v>
      </c>
      <c r="U20" s="4" t="s">
        <v>46</v>
      </c>
    </row>
    <row r="21" spans="1:21">
      <c r="A21" s="4">
        <v>5096</v>
      </c>
      <c r="B21" s="4" t="s">
        <v>120</v>
      </c>
      <c r="C21" s="4" t="s">
        <v>37</v>
      </c>
      <c r="D21" s="4">
        <v>36</v>
      </c>
      <c r="E21" s="4" t="s">
        <v>59</v>
      </c>
      <c r="F21" s="4" t="s">
        <v>39</v>
      </c>
      <c r="G21" s="4" t="s">
        <v>121</v>
      </c>
      <c r="H21" s="4" t="s">
        <v>60</v>
      </c>
      <c r="I21" s="4" t="s">
        <v>122</v>
      </c>
      <c r="J21" s="4" t="s">
        <v>123</v>
      </c>
      <c r="K21" s="4" t="s">
        <v>29</v>
      </c>
      <c r="L21" s="4" t="s">
        <v>44</v>
      </c>
      <c r="M21" s="4">
        <v>46811</v>
      </c>
      <c r="N21" s="4" t="s">
        <v>55</v>
      </c>
      <c r="O21" s="4">
        <v>1567</v>
      </c>
      <c r="P21" s="4" t="s">
        <v>46</v>
      </c>
      <c r="Q21" s="4">
        <v>7</v>
      </c>
      <c r="R21" s="4">
        <v>3</v>
      </c>
      <c r="S21" s="4" t="s">
        <v>47</v>
      </c>
      <c r="T21" s="4" t="s">
        <v>34</v>
      </c>
      <c r="U21" s="4" t="s">
        <v>57</v>
      </c>
    </row>
    <row r="22" spans="1:21">
      <c r="A22" s="4">
        <v>2263</v>
      </c>
      <c r="B22" s="4" t="s">
        <v>124</v>
      </c>
      <c r="C22" s="4" t="s">
        <v>37</v>
      </c>
      <c r="D22" s="4">
        <v>31</v>
      </c>
      <c r="E22" s="4" t="s">
        <v>38</v>
      </c>
      <c r="F22" s="4" t="s">
        <v>80</v>
      </c>
      <c r="G22" s="4" t="s">
        <v>50</v>
      </c>
      <c r="H22" s="4" t="s">
        <v>41</v>
      </c>
      <c r="I22" s="4" t="s">
        <v>125</v>
      </c>
      <c r="J22" s="4" t="s">
        <v>126</v>
      </c>
      <c r="K22" s="4" t="s">
        <v>63</v>
      </c>
      <c r="L22" s="4" t="s">
        <v>44</v>
      </c>
      <c r="M22" s="4">
        <v>87538</v>
      </c>
      <c r="N22" s="4" t="s">
        <v>31</v>
      </c>
      <c r="O22" s="4">
        <v>3588</v>
      </c>
      <c r="P22" s="4" t="s">
        <v>65</v>
      </c>
      <c r="Q22" s="4">
        <v>11</v>
      </c>
      <c r="R22" s="4">
        <v>5</v>
      </c>
      <c r="S22" s="4" t="s">
        <v>47</v>
      </c>
      <c r="T22" s="4" t="s">
        <v>66</v>
      </c>
      <c r="U22" s="4" t="s">
        <v>46</v>
      </c>
    </row>
    <row r="23" spans="1:21">
      <c r="A23" s="4">
        <v>6505</v>
      </c>
      <c r="B23" s="4" t="s">
        <v>127</v>
      </c>
      <c r="C23" s="4" t="s">
        <v>22</v>
      </c>
      <c r="D23" s="4">
        <v>28</v>
      </c>
      <c r="E23" s="4" t="s">
        <v>38</v>
      </c>
      <c r="F23" s="4" t="s">
        <v>24</v>
      </c>
      <c r="G23" s="4" t="s">
        <v>40</v>
      </c>
      <c r="H23" s="4" t="s">
        <v>81</v>
      </c>
      <c r="I23" s="4" t="s">
        <v>128</v>
      </c>
      <c r="J23" s="4" t="s">
        <v>129</v>
      </c>
      <c r="K23" s="4" t="s">
        <v>29</v>
      </c>
      <c r="L23" s="4" t="s">
        <v>44</v>
      </c>
      <c r="M23" s="4">
        <v>73002</v>
      </c>
      <c r="N23" s="4" t="s">
        <v>31</v>
      </c>
      <c r="O23" s="4">
        <v>6296</v>
      </c>
      <c r="P23" s="4" t="s">
        <v>32</v>
      </c>
      <c r="Q23" s="4">
        <v>2</v>
      </c>
      <c r="R23" s="4">
        <v>5</v>
      </c>
      <c r="S23" s="4" t="s">
        <v>47</v>
      </c>
      <c r="T23" s="4" t="s">
        <v>56</v>
      </c>
      <c r="U23" s="4" t="s">
        <v>35</v>
      </c>
    </row>
    <row r="24" spans="1:21">
      <c r="A24" s="4">
        <v>8626</v>
      </c>
      <c r="B24" s="4" t="s">
        <v>130</v>
      </c>
      <c r="C24" s="4" t="s">
        <v>37</v>
      </c>
      <c r="D24" s="4">
        <v>37</v>
      </c>
      <c r="E24" s="4" t="s">
        <v>59</v>
      </c>
      <c r="F24" s="4" t="s">
        <v>80</v>
      </c>
      <c r="G24" s="4" t="s">
        <v>40</v>
      </c>
      <c r="H24" s="4" t="s">
        <v>60</v>
      </c>
      <c r="I24" s="4" t="s">
        <v>131</v>
      </c>
      <c r="J24" s="4" t="s">
        <v>132</v>
      </c>
      <c r="K24" s="4" t="s">
        <v>111</v>
      </c>
      <c r="L24" s="4" t="s">
        <v>54</v>
      </c>
      <c r="M24" s="4">
        <v>41653</v>
      </c>
      <c r="N24" s="4" t="s">
        <v>55</v>
      </c>
      <c r="O24" s="4">
        <v>9236</v>
      </c>
      <c r="P24" s="4" t="s">
        <v>46</v>
      </c>
      <c r="Q24" s="4">
        <v>13</v>
      </c>
      <c r="R24" s="4">
        <v>1</v>
      </c>
      <c r="S24" s="4" t="s">
        <v>47</v>
      </c>
      <c r="T24" s="4" t="s">
        <v>34</v>
      </c>
      <c r="U24" s="4" t="s">
        <v>46</v>
      </c>
    </row>
    <row r="25" spans="1:21">
      <c r="A25" s="4">
        <v>5979</v>
      </c>
      <c r="B25" s="4" t="s">
        <v>133</v>
      </c>
      <c r="C25" s="4" t="s">
        <v>22</v>
      </c>
      <c r="D25" s="4">
        <v>31</v>
      </c>
      <c r="E25" s="4" t="s">
        <v>38</v>
      </c>
      <c r="F25" s="4" t="s">
        <v>24</v>
      </c>
      <c r="G25" s="4" t="s">
        <v>25</v>
      </c>
      <c r="H25" s="4" t="s">
        <v>51</v>
      </c>
      <c r="I25" s="4" t="s">
        <v>134</v>
      </c>
      <c r="J25" s="4" t="s">
        <v>135</v>
      </c>
      <c r="K25" s="4" t="s">
        <v>63</v>
      </c>
      <c r="L25" s="4" t="s">
        <v>44</v>
      </c>
      <c r="M25" s="4">
        <v>67582</v>
      </c>
      <c r="N25" s="4" t="s">
        <v>64</v>
      </c>
      <c r="O25" s="4">
        <v>1375</v>
      </c>
      <c r="P25" s="4" t="s">
        <v>32</v>
      </c>
      <c r="Q25" s="4">
        <v>20</v>
      </c>
      <c r="R25" s="4">
        <v>3</v>
      </c>
      <c r="S25" s="4" t="s">
        <v>47</v>
      </c>
      <c r="T25" s="4" t="s">
        <v>56</v>
      </c>
      <c r="U25" s="4" t="s">
        <v>46</v>
      </c>
    </row>
    <row r="26" spans="1:21">
      <c r="A26" s="4">
        <v>3104</v>
      </c>
      <c r="B26" s="4" t="s">
        <v>136</v>
      </c>
      <c r="C26" s="4" t="s">
        <v>22</v>
      </c>
      <c r="D26" s="4">
        <v>23</v>
      </c>
      <c r="E26" s="4" t="s">
        <v>23</v>
      </c>
      <c r="F26" s="4" t="s">
        <v>80</v>
      </c>
      <c r="G26" s="4" t="s">
        <v>40</v>
      </c>
      <c r="H26" s="4" t="s">
        <v>41</v>
      </c>
      <c r="I26" s="4" t="s">
        <v>137</v>
      </c>
      <c r="J26" s="4" t="s">
        <v>138</v>
      </c>
      <c r="K26" s="4" t="s">
        <v>111</v>
      </c>
      <c r="L26" s="4" t="s">
        <v>44</v>
      </c>
      <c r="M26" s="4">
        <v>37351</v>
      </c>
      <c r="N26" s="4" t="s">
        <v>55</v>
      </c>
      <c r="O26" s="4">
        <v>7858</v>
      </c>
      <c r="P26" s="4" t="s">
        <v>65</v>
      </c>
      <c r="Q26" s="4">
        <v>18</v>
      </c>
      <c r="R26" s="4">
        <v>2</v>
      </c>
      <c r="S26" s="4" t="s">
        <v>33</v>
      </c>
      <c r="T26" s="4" t="s">
        <v>56</v>
      </c>
      <c r="U26" s="4" t="s">
        <v>57</v>
      </c>
    </row>
    <row r="27" spans="1:21">
      <c r="A27" s="4">
        <v>8967</v>
      </c>
      <c r="B27" s="4" t="s">
        <v>139</v>
      </c>
      <c r="C27" s="4" t="s">
        <v>22</v>
      </c>
      <c r="D27" s="4">
        <v>48</v>
      </c>
      <c r="E27" s="4" t="s">
        <v>98</v>
      </c>
      <c r="F27" s="4" t="s">
        <v>102</v>
      </c>
      <c r="G27" s="4" t="s">
        <v>50</v>
      </c>
      <c r="H27" s="4" t="s">
        <v>26</v>
      </c>
      <c r="I27" s="4" t="s">
        <v>140</v>
      </c>
      <c r="J27" s="4" t="s">
        <v>141</v>
      </c>
      <c r="K27" s="4" t="s">
        <v>29</v>
      </c>
      <c r="L27" s="4" t="s">
        <v>44</v>
      </c>
      <c r="M27" s="4">
        <v>36721</v>
      </c>
      <c r="N27" s="4" t="s">
        <v>45</v>
      </c>
      <c r="O27" s="4">
        <v>8820</v>
      </c>
      <c r="P27" s="4" t="s">
        <v>65</v>
      </c>
      <c r="Q27" s="4">
        <v>0</v>
      </c>
      <c r="R27" s="4">
        <v>2</v>
      </c>
      <c r="S27" s="4" t="s">
        <v>47</v>
      </c>
      <c r="T27" s="4" t="s">
        <v>56</v>
      </c>
      <c r="U27" s="4" t="s">
        <v>35</v>
      </c>
    </row>
    <row r="28" spans="1:21">
      <c r="A28" s="4">
        <v>5087</v>
      </c>
      <c r="B28" s="4" t="s">
        <v>142</v>
      </c>
      <c r="C28" s="4" t="s">
        <v>37</v>
      </c>
      <c r="D28" s="4">
        <v>28</v>
      </c>
      <c r="E28" s="4" t="s">
        <v>38</v>
      </c>
      <c r="F28" s="4" t="s">
        <v>49</v>
      </c>
      <c r="G28" s="4" t="s">
        <v>121</v>
      </c>
      <c r="H28" s="4" t="s">
        <v>26</v>
      </c>
      <c r="I28" s="4" t="s">
        <v>143</v>
      </c>
      <c r="J28" s="4" t="s">
        <v>144</v>
      </c>
      <c r="K28" s="4" t="s">
        <v>63</v>
      </c>
      <c r="L28" s="4" t="s">
        <v>54</v>
      </c>
      <c r="M28" s="4">
        <v>46326</v>
      </c>
      <c r="N28" s="4" t="s">
        <v>45</v>
      </c>
      <c r="O28" s="4">
        <v>9189</v>
      </c>
      <c r="P28" s="4" t="s">
        <v>65</v>
      </c>
      <c r="Q28" s="4">
        <v>8</v>
      </c>
      <c r="R28" s="4">
        <v>4</v>
      </c>
      <c r="S28" s="4" t="s">
        <v>33</v>
      </c>
      <c r="T28" s="4" t="s">
        <v>75</v>
      </c>
      <c r="U28" s="4" t="s">
        <v>57</v>
      </c>
    </row>
    <row r="29" spans="1:21">
      <c r="A29" s="4">
        <v>3358</v>
      </c>
      <c r="B29" s="4" t="s">
        <v>145</v>
      </c>
      <c r="C29" s="4" t="s">
        <v>37</v>
      </c>
      <c r="D29" s="4">
        <v>30</v>
      </c>
      <c r="E29" s="4" t="s">
        <v>38</v>
      </c>
      <c r="F29" s="4" t="s">
        <v>39</v>
      </c>
      <c r="G29" s="4" t="s">
        <v>72</v>
      </c>
      <c r="H29" s="4" t="s">
        <v>41</v>
      </c>
      <c r="I29" s="4" t="s">
        <v>146</v>
      </c>
      <c r="J29" s="4" t="s">
        <v>147</v>
      </c>
      <c r="K29" s="4" t="s">
        <v>29</v>
      </c>
      <c r="L29" s="4" t="s">
        <v>30</v>
      </c>
      <c r="M29" s="4">
        <v>59007</v>
      </c>
      <c r="N29" s="4" t="s">
        <v>31</v>
      </c>
      <c r="O29" s="4">
        <v>3380</v>
      </c>
      <c r="P29" s="4" t="s">
        <v>32</v>
      </c>
      <c r="Q29" s="4">
        <v>17</v>
      </c>
      <c r="R29" s="4">
        <v>3</v>
      </c>
      <c r="S29" s="4" t="s">
        <v>46</v>
      </c>
      <c r="T29" s="4" t="s">
        <v>96</v>
      </c>
      <c r="U29" s="4" t="s">
        <v>35</v>
      </c>
    </row>
    <row r="30" spans="1:21">
      <c r="A30" s="4">
        <v>8256</v>
      </c>
      <c r="B30" s="4" t="s">
        <v>148</v>
      </c>
      <c r="C30" s="4" t="s">
        <v>37</v>
      </c>
      <c r="D30" s="4">
        <v>46</v>
      </c>
      <c r="E30" s="4" t="s">
        <v>98</v>
      </c>
      <c r="F30" s="4" t="s">
        <v>80</v>
      </c>
      <c r="G30" s="4" t="s">
        <v>25</v>
      </c>
      <c r="H30" s="4" t="s">
        <v>60</v>
      </c>
      <c r="I30" s="4" t="s">
        <v>149</v>
      </c>
      <c r="J30" s="4" t="s">
        <v>150</v>
      </c>
      <c r="K30" s="4" t="s">
        <v>29</v>
      </c>
      <c r="L30" s="4" t="s">
        <v>44</v>
      </c>
      <c r="M30" s="4">
        <v>52020</v>
      </c>
      <c r="N30" s="4" t="s">
        <v>45</v>
      </c>
      <c r="O30" s="4">
        <v>9585</v>
      </c>
      <c r="P30" s="4" t="s">
        <v>65</v>
      </c>
      <c r="Q30" s="4">
        <v>0</v>
      </c>
      <c r="R30" s="4">
        <v>4</v>
      </c>
      <c r="S30" s="4" t="s">
        <v>47</v>
      </c>
      <c r="T30" s="4" t="s">
        <v>96</v>
      </c>
      <c r="U30" s="4" t="s">
        <v>46</v>
      </c>
    </row>
    <row r="31" spans="1:21">
      <c r="A31" s="4">
        <v>5763</v>
      </c>
      <c r="B31" s="4" t="s">
        <v>151</v>
      </c>
      <c r="C31" s="4" t="s">
        <v>37</v>
      </c>
      <c r="D31" s="4">
        <v>44</v>
      </c>
      <c r="E31" s="4" t="s">
        <v>59</v>
      </c>
      <c r="F31" s="4" t="s">
        <v>39</v>
      </c>
      <c r="G31" s="4" t="s">
        <v>50</v>
      </c>
      <c r="H31" s="4" t="s">
        <v>41</v>
      </c>
      <c r="I31" s="4" t="s">
        <v>152</v>
      </c>
      <c r="J31" s="4" t="s">
        <v>153</v>
      </c>
      <c r="K31" s="4" t="s">
        <v>111</v>
      </c>
      <c r="L31" s="4" t="s">
        <v>44</v>
      </c>
      <c r="M31" s="4">
        <v>98961</v>
      </c>
      <c r="N31" s="4" t="s">
        <v>55</v>
      </c>
      <c r="O31" s="4">
        <v>2688</v>
      </c>
      <c r="P31" s="4" t="s">
        <v>32</v>
      </c>
      <c r="Q31" s="4">
        <v>2</v>
      </c>
      <c r="R31" s="4">
        <v>5</v>
      </c>
      <c r="S31" s="4" t="s">
        <v>47</v>
      </c>
      <c r="T31" s="4" t="s">
        <v>96</v>
      </c>
      <c r="U31" s="4" t="s">
        <v>35</v>
      </c>
    </row>
    <row r="32" spans="1:21">
      <c r="A32" s="4">
        <v>6838</v>
      </c>
      <c r="B32" s="4" t="s">
        <v>154</v>
      </c>
      <c r="C32" s="4" t="s">
        <v>37</v>
      </c>
      <c r="D32" s="4">
        <v>45</v>
      </c>
      <c r="E32" s="4" t="s">
        <v>59</v>
      </c>
      <c r="F32" s="4" t="s">
        <v>49</v>
      </c>
      <c r="G32" s="4" t="s">
        <v>72</v>
      </c>
      <c r="H32" s="4" t="s">
        <v>51</v>
      </c>
      <c r="I32" s="4" t="s">
        <v>155</v>
      </c>
      <c r="J32" s="4" t="s">
        <v>156</v>
      </c>
      <c r="K32" s="4" t="s">
        <v>111</v>
      </c>
      <c r="L32" s="4" t="s">
        <v>44</v>
      </c>
      <c r="M32" s="4">
        <v>81943</v>
      </c>
      <c r="N32" s="4" t="s">
        <v>31</v>
      </c>
      <c r="O32" s="4">
        <v>2255</v>
      </c>
      <c r="P32" s="4" t="s">
        <v>32</v>
      </c>
      <c r="Q32" s="4">
        <v>18</v>
      </c>
      <c r="R32" s="4">
        <v>2</v>
      </c>
      <c r="S32" s="4" t="s">
        <v>46</v>
      </c>
      <c r="T32" s="4" t="s">
        <v>66</v>
      </c>
      <c r="U32" s="4" t="s">
        <v>35</v>
      </c>
    </row>
    <row r="33" spans="1:21">
      <c r="A33" s="4">
        <v>9544</v>
      </c>
      <c r="B33" s="4" t="s">
        <v>157</v>
      </c>
      <c r="C33" s="4" t="s">
        <v>37</v>
      </c>
      <c r="D33" s="4">
        <v>52</v>
      </c>
      <c r="E33" s="4" t="s">
        <v>98</v>
      </c>
      <c r="F33" s="4" t="s">
        <v>102</v>
      </c>
      <c r="G33" s="4" t="s">
        <v>50</v>
      </c>
      <c r="H33" s="4" t="s">
        <v>41</v>
      </c>
      <c r="I33" s="4" t="s">
        <v>158</v>
      </c>
      <c r="J33" s="4" t="s">
        <v>159</v>
      </c>
      <c r="K33" s="4" t="s">
        <v>111</v>
      </c>
      <c r="L33" s="4" t="s">
        <v>44</v>
      </c>
      <c r="M33" s="4">
        <v>47627</v>
      </c>
      <c r="N33" s="4" t="s">
        <v>31</v>
      </c>
      <c r="O33" s="4">
        <v>1221</v>
      </c>
      <c r="P33" s="4" t="s">
        <v>46</v>
      </c>
      <c r="Q33" s="4">
        <v>4</v>
      </c>
      <c r="R33" s="4">
        <v>3</v>
      </c>
      <c r="S33" s="4" t="s">
        <v>46</v>
      </c>
      <c r="T33" s="4" t="s">
        <v>56</v>
      </c>
      <c r="U33" s="4" t="s">
        <v>46</v>
      </c>
    </row>
    <row r="34" spans="1:21">
      <c r="A34" s="4">
        <v>8012</v>
      </c>
      <c r="B34" s="4" t="s">
        <v>160</v>
      </c>
      <c r="C34" s="4" t="s">
        <v>22</v>
      </c>
      <c r="D34" s="4">
        <v>52</v>
      </c>
      <c r="E34" s="4" t="s">
        <v>98</v>
      </c>
      <c r="F34" s="4" t="s">
        <v>24</v>
      </c>
      <c r="G34" s="4" t="s">
        <v>25</v>
      </c>
      <c r="H34" s="4" t="s">
        <v>81</v>
      </c>
      <c r="I34" s="4" t="s">
        <v>161</v>
      </c>
      <c r="J34" s="4" t="s">
        <v>162</v>
      </c>
      <c r="K34" s="4" t="s">
        <v>111</v>
      </c>
      <c r="L34" s="4" t="s">
        <v>44</v>
      </c>
      <c r="M34" s="4">
        <v>56162</v>
      </c>
      <c r="N34" s="4" t="s">
        <v>55</v>
      </c>
      <c r="O34" s="4">
        <v>6560</v>
      </c>
      <c r="P34" s="4" t="s">
        <v>65</v>
      </c>
      <c r="Q34" s="4">
        <v>9</v>
      </c>
      <c r="R34" s="4">
        <v>4</v>
      </c>
      <c r="S34" s="4" t="s">
        <v>47</v>
      </c>
      <c r="T34" s="4" t="s">
        <v>75</v>
      </c>
      <c r="U34" s="4" t="s">
        <v>46</v>
      </c>
    </row>
    <row r="35" spans="1:21">
      <c r="A35" s="4">
        <v>9374</v>
      </c>
      <c r="B35" s="4" t="s">
        <v>163</v>
      </c>
      <c r="C35" s="4" t="s">
        <v>22</v>
      </c>
      <c r="D35" s="4">
        <v>42</v>
      </c>
      <c r="E35" s="4" t="s">
        <v>59</v>
      </c>
      <c r="F35" s="4" t="s">
        <v>39</v>
      </c>
      <c r="G35" s="4" t="s">
        <v>50</v>
      </c>
      <c r="H35" s="4" t="s">
        <v>51</v>
      </c>
      <c r="I35" s="4" t="s">
        <v>164</v>
      </c>
      <c r="J35" s="4" t="s">
        <v>165</v>
      </c>
      <c r="K35" s="4" t="s">
        <v>63</v>
      </c>
      <c r="L35" s="4" t="s">
        <v>54</v>
      </c>
      <c r="M35" s="4">
        <v>95734</v>
      </c>
      <c r="N35" s="4" t="s">
        <v>31</v>
      </c>
      <c r="O35" s="4">
        <v>4854</v>
      </c>
      <c r="P35" s="4" t="s">
        <v>32</v>
      </c>
      <c r="Q35" s="4">
        <v>13</v>
      </c>
      <c r="R35" s="4">
        <v>2</v>
      </c>
      <c r="S35" s="4" t="s">
        <v>33</v>
      </c>
      <c r="T35" s="4" t="s">
        <v>34</v>
      </c>
      <c r="U35" s="4" t="s">
        <v>35</v>
      </c>
    </row>
    <row r="36" spans="1:21">
      <c r="A36" s="4">
        <v>3487</v>
      </c>
      <c r="B36" s="4" t="s">
        <v>166</v>
      </c>
      <c r="C36" s="4" t="s">
        <v>37</v>
      </c>
      <c r="D36" s="4">
        <v>58</v>
      </c>
      <c r="E36" s="4" t="s">
        <v>68</v>
      </c>
      <c r="F36" s="4" t="s">
        <v>39</v>
      </c>
      <c r="G36" s="4" t="s">
        <v>40</v>
      </c>
      <c r="H36" s="4" t="s">
        <v>60</v>
      </c>
      <c r="I36" s="4" t="s">
        <v>167</v>
      </c>
      <c r="J36" s="4" t="s">
        <v>168</v>
      </c>
      <c r="K36" s="4" t="s">
        <v>63</v>
      </c>
      <c r="L36" s="4" t="s">
        <v>54</v>
      </c>
      <c r="M36" s="4">
        <v>74789</v>
      </c>
      <c r="N36" s="4" t="s">
        <v>31</v>
      </c>
      <c r="O36" s="4">
        <v>8101</v>
      </c>
      <c r="P36" s="4" t="s">
        <v>65</v>
      </c>
      <c r="Q36" s="4">
        <v>14</v>
      </c>
      <c r="R36" s="4">
        <v>5</v>
      </c>
      <c r="S36" s="4" t="s">
        <v>47</v>
      </c>
      <c r="T36" s="4" t="s">
        <v>66</v>
      </c>
      <c r="U36" s="4" t="s">
        <v>46</v>
      </c>
    </row>
    <row r="37" spans="1:21">
      <c r="A37" s="4">
        <v>8445</v>
      </c>
      <c r="B37" s="4" t="s">
        <v>169</v>
      </c>
      <c r="C37" s="4" t="s">
        <v>22</v>
      </c>
      <c r="D37" s="4">
        <v>24</v>
      </c>
      <c r="E37" s="4" t="s">
        <v>23</v>
      </c>
      <c r="F37" s="4" t="s">
        <v>102</v>
      </c>
      <c r="G37" s="4" t="s">
        <v>25</v>
      </c>
      <c r="H37" s="4" t="s">
        <v>60</v>
      </c>
      <c r="I37" s="4" t="s">
        <v>170</v>
      </c>
      <c r="J37" s="4" t="s">
        <v>171</v>
      </c>
      <c r="K37" s="4" t="s">
        <v>29</v>
      </c>
      <c r="L37" s="4" t="s">
        <v>54</v>
      </c>
      <c r="M37" s="4">
        <v>30137</v>
      </c>
      <c r="N37" s="4" t="s">
        <v>45</v>
      </c>
      <c r="O37" s="4">
        <v>4031</v>
      </c>
      <c r="P37" s="4" t="s">
        <v>46</v>
      </c>
      <c r="Q37" s="4">
        <v>5</v>
      </c>
      <c r="R37" s="4">
        <v>3</v>
      </c>
      <c r="S37" s="4" t="s">
        <v>46</v>
      </c>
      <c r="T37" s="4" t="s">
        <v>56</v>
      </c>
      <c r="U37" s="4" t="s">
        <v>35</v>
      </c>
    </row>
    <row r="38" spans="1:21">
      <c r="A38" s="4">
        <v>1550</v>
      </c>
      <c r="B38" s="4" t="s">
        <v>172</v>
      </c>
      <c r="C38" s="4" t="s">
        <v>37</v>
      </c>
      <c r="D38" s="4">
        <v>21</v>
      </c>
      <c r="E38" s="4" t="s">
        <v>23</v>
      </c>
      <c r="F38" s="4" t="s">
        <v>39</v>
      </c>
      <c r="G38" s="4" t="s">
        <v>25</v>
      </c>
      <c r="H38" s="4" t="s">
        <v>26</v>
      </c>
      <c r="I38" s="4" t="s">
        <v>173</v>
      </c>
      <c r="J38" s="4" t="s">
        <v>174</v>
      </c>
      <c r="K38" s="4" t="s">
        <v>29</v>
      </c>
      <c r="L38" s="4" t="s">
        <v>54</v>
      </c>
      <c r="M38" s="4">
        <v>95510</v>
      </c>
      <c r="N38" s="4" t="s">
        <v>31</v>
      </c>
      <c r="O38" s="4">
        <v>6811</v>
      </c>
      <c r="P38" s="4" t="s">
        <v>32</v>
      </c>
      <c r="Q38" s="4">
        <v>18</v>
      </c>
      <c r="R38" s="4">
        <v>4</v>
      </c>
      <c r="S38" s="4" t="s">
        <v>47</v>
      </c>
      <c r="T38" s="4" t="s">
        <v>96</v>
      </c>
      <c r="U38" s="4" t="s">
        <v>35</v>
      </c>
    </row>
    <row r="39" spans="1:21">
      <c r="A39" s="4">
        <v>9968</v>
      </c>
      <c r="B39" s="4" t="s">
        <v>175</v>
      </c>
      <c r="C39" s="4" t="s">
        <v>37</v>
      </c>
      <c r="D39" s="4">
        <v>58</v>
      </c>
      <c r="E39" s="4" t="s">
        <v>68</v>
      </c>
      <c r="F39" s="4" t="s">
        <v>39</v>
      </c>
      <c r="G39" s="4" t="s">
        <v>72</v>
      </c>
      <c r="H39" s="4" t="s">
        <v>26</v>
      </c>
      <c r="I39" s="4" t="s">
        <v>176</v>
      </c>
      <c r="J39" s="4" t="s">
        <v>177</v>
      </c>
      <c r="K39" s="4" t="s">
        <v>63</v>
      </c>
      <c r="L39" s="4" t="s">
        <v>30</v>
      </c>
      <c r="M39" s="4">
        <v>80325</v>
      </c>
      <c r="N39" s="4" t="s">
        <v>45</v>
      </c>
      <c r="O39" s="4">
        <v>6230</v>
      </c>
      <c r="P39" s="4" t="s">
        <v>32</v>
      </c>
      <c r="Q39" s="4">
        <v>5</v>
      </c>
      <c r="R39" s="4">
        <v>4</v>
      </c>
      <c r="S39" s="4" t="s">
        <v>46</v>
      </c>
      <c r="T39" s="4" t="s">
        <v>66</v>
      </c>
      <c r="U39" s="4" t="s">
        <v>57</v>
      </c>
    </row>
    <row r="40" spans="1:21">
      <c r="A40" s="4">
        <v>8029</v>
      </c>
      <c r="B40" s="4" t="s">
        <v>178</v>
      </c>
      <c r="C40" s="4" t="s">
        <v>22</v>
      </c>
      <c r="D40" s="4">
        <v>57</v>
      </c>
      <c r="E40" s="4" t="s">
        <v>68</v>
      </c>
      <c r="F40" s="4" t="s">
        <v>80</v>
      </c>
      <c r="G40" s="4" t="s">
        <v>121</v>
      </c>
      <c r="H40" s="4" t="s">
        <v>81</v>
      </c>
      <c r="I40" s="4" t="s">
        <v>179</v>
      </c>
      <c r="J40" s="4" t="s">
        <v>180</v>
      </c>
      <c r="K40" s="4" t="s">
        <v>111</v>
      </c>
      <c r="L40" s="4" t="s">
        <v>44</v>
      </c>
      <c r="M40" s="4">
        <v>34109</v>
      </c>
      <c r="N40" s="4" t="s">
        <v>45</v>
      </c>
      <c r="O40" s="4">
        <v>9232</v>
      </c>
      <c r="P40" s="4" t="s">
        <v>32</v>
      </c>
      <c r="Q40" s="4">
        <v>13</v>
      </c>
      <c r="R40" s="4">
        <v>3</v>
      </c>
      <c r="S40" s="4" t="s">
        <v>33</v>
      </c>
      <c r="T40" s="4" t="s">
        <v>34</v>
      </c>
      <c r="U40" s="4" t="s">
        <v>35</v>
      </c>
    </row>
    <row r="41" spans="1:21">
      <c r="A41" s="4">
        <v>8847</v>
      </c>
      <c r="B41" s="4" t="s">
        <v>181</v>
      </c>
      <c r="C41" s="4" t="s">
        <v>37</v>
      </c>
      <c r="D41" s="4">
        <v>41</v>
      </c>
      <c r="E41" s="4" t="s">
        <v>59</v>
      </c>
      <c r="F41" s="4" t="s">
        <v>80</v>
      </c>
      <c r="G41" s="4" t="s">
        <v>72</v>
      </c>
      <c r="H41" s="4" t="s">
        <v>26</v>
      </c>
      <c r="I41" s="4" t="s">
        <v>182</v>
      </c>
      <c r="J41" s="4" t="s">
        <v>183</v>
      </c>
      <c r="K41" s="4" t="s">
        <v>111</v>
      </c>
      <c r="L41" s="4" t="s">
        <v>54</v>
      </c>
      <c r="M41" s="4">
        <v>73330</v>
      </c>
      <c r="N41" s="4" t="s">
        <v>31</v>
      </c>
      <c r="O41" s="4">
        <v>2276</v>
      </c>
      <c r="P41" s="4" t="s">
        <v>65</v>
      </c>
      <c r="Q41" s="4">
        <v>5</v>
      </c>
      <c r="R41" s="4">
        <v>1</v>
      </c>
      <c r="S41" s="4" t="s">
        <v>46</v>
      </c>
      <c r="T41" s="4" t="s">
        <v>56</v>
      </c>
      <c r="U41" s="4" t="s">
        <v>57</v>
      </c>
    </row>
    <row r="42" spans="1:21">
      <c r="A42" s="4">
        <v>1955</v>
      </c>
      <c r="B42" s="4" t="s">
        <v>184</v>
      </c>
      <c r="C42" s="4" t="s">
        <v>22</v>
      </c>
      <c r="D42" s="4">
        <v>58</v>
      </c>
      <c r="E42" s="4" t="s">
        <v>68</v>
      </c>
      <c r="F42" s="4" t="s">
        <v>49</v>
      </c>
      <c r="G42" s="4" t="s">
        <v>50</v>
      </c>
      <c r="H42" s="4" t="s">
        <v>41</v>
      </c>
      <c r="I42" s="4" t="s">
        <v>185</v>
      </c>
      <c r="J42" s="4" t="s">
        <v>186</v>
      </c>
      <c r="K42" s="4" t="s">
        <v>63</v>
      </c>
      <c r="L42" s="4" t="s">
        <v>54</v>
      </c>
      <c r="M42" s="4">
        <v>46567</v>
      </c>
      <c r="N42" s="4" t="s">
        <v>64</v>
      </c>
      <c r="O42" s="4">
        <v>2825</v>
      </c>
      <c r="P42" s="4" t="s">
        <v>32</v>
      </c>
      <c r="Q42" s="4">
        <v>15</v>
      </c>
      <c r="R42" s="4">
        <v>3</v>
      </c>
      <c r="S42" s="4" t="s">
        <v>46</v>
      </c>
      <c r="T42" s="4" t="s">
        <v>96</v>
      </c>
      <c r="U42" s="4" t="s">
        <v>57</v>
      </c>
    </row>
    <row r="43" spans="1:21">
      <c r="A43" s="4">
        <v>4522</v>
      </c>
      <c r="B43" s="4" t="s">
        <v>187</v>
      </c>
      <c r="C43" s="4" t="s">
        <v>22</v>
      </c>
      <c r="D43" s="4">
        <v>36</v>
      </c>
      <c r="E43" s="4" t="s">
        <v>59</v>
      </c>
      <c r="F43" s="4" t="s">
        <v>24</v>
      </c>
      <c r="G43" s="4" t="s">
        <v>121</v>
      </c>
      <c r="H43" s="4" t="s">
        <v>26</v>
      </c>
      <c r="I43" s="4" t="s">
        <v>188</v>
      </c>
      <c r="J43" s="4" t="s">
        <v>189</v>
      </c>
      <c r="K43" s="4" t="s">
        <v>63</v>
      </c>
      <c r="L43" s="4" t="s">
        <v>44</v>
      </c>
      <c r="M43" s="4">
        <v>39795</v>
      </c>
      <c r="N43" s="4" t="s">
        <v>64</v>
      </c>
      <c r="O43" s="4">
        <v>1670</v>
      </c>
      <c r="P43" s="4" t="s">
        <v>46</v>
      </c>
      <c r="Q43" s="4">
        <v>0</v>
      </c>
      <c r="R43" s="4">
        <v>2</v>
      </c>
      <c r="S43" s="4" t="s">
        <v>47</v>
      </c>
      <c r="T43" s="4" t="s">
        <v>75</v>
      </c>
      <c r="U43" s="4" t="s">
        <v>46</v>
      </c>
    </row>
    <row r="44" spans="1:21">
      <c r="A44" s="4">
        <v>3078</v>
      </c>
      <c r="B44" s="4" t="s">
        <v>190</v>
      </c>
      <c r="C44" s="4" t="s">
        <v>22</v>
      </c>
      <c r="D44" s="4">
        <v>21</v>
      </c>
      <c r="E44" s="4" t="s">
        <v>23</v>
      </c>
      <c r="F44" s="4" t="s">
        <v>24</v>
      </c>
      <c r="G44" s="4" t="s">
        <v>25</v>
      </c>
      <c r="H44" s="4" t="s">
        <v>81</v>
      </c>
      <c r="I44" s="4" t="s">
        <v>191</v>
      </c>
      <c r="J44" s="4" t="s">
        <v>192</v>
      </c>
      <c r="K44" s="4" t="s">
        <v>63</v>
      </c>
      <c r="L44" s="4" t="s">
        <v>54</v>
      </c>
      <c r="M44" s="4">
        <v>59506</v>
      </c>
      <c r="N44" s="4" t="s">
        <v>64</v>
      </c>
      <c r="O44" s="4">
        <v>4428</v>
      </c>
      <c r="P44" s="4" t="s">
        <v>65</v>
      </c>
      <c r="Q44" s="4">
        <v>0</v>
      </c>
      <c r="R44" s="4">
        <v>1</v>
      </c>
      <c r="S44" s="4" t="s">
        <v>46</v>
      </c>
      <c r="T44" s="4" t="s">
        <v>75</v>
      </c>
      <c r="U44" s="4" t="s">
        <v>35</v>
      </c>
    </row>
    <row r="45" spans="1:21">
      <c r="A45" s="4">
        <v>6357</v>
      </c>
      <c r="B45" s="4" t="s">
        <v>193</v>
      </c>
      <c r="C45" s="4" t="s">
        <v>22</v>
      </c>
      <c r="D45" s="4">
        <v>46</v>
      </c>
      <c r="E45" s="4" t="s">
        <v>98</v>
      </c>
      <c r="F45" s="4" t="s">
        <v>49</v>
      </c>
      <c r="G45" s="4" t="s">
        <v>40</v>
      </c>
      <c r="H45" s="4" t="s">
        <v>81</v>
      </c>
      <c r="I45" s="4" t="s">
        <v>194</v>
      </c>
      <c r="J45" s="4" t="s">
        <v>195</v>
      </c>
      <c r="K45" s="4" t="s">
        <v>63</v>
      </c>
      <c r="L45" s="4" t="s">
        <v>54</v>
      </c>
      <c r="M45" s="4">
        <v>49058</v>
      </c>
      <c r="N45" s="4" t="s">
        <v>45</v>
      </c>
      <c r="O45" s="4">
        <v>4396</v>
      </c>
      <c r="P45" s="4" t="s">
        <v>46</v>
      </c>
      <c r="Q45" s="4">
        <v>5</v>
      </c>
      <c r="R45" s="4">
        <v>1</v>
      </c>
      <c r="S45" s="4" t="s">
        <v>46</v>
      </c>
      <c r="T45" s="4" t="s">
        <v>75</v>
      </c>
      <c r="U45" s="4" t="s">
        <v>46</v>
      </c>
    </row>
    <row r="46" spans="1:21">
      <c r="A46" s="4">
        <v>7951</v>
      </c>
      <c r="B46" s="4" t="s">
        <v>196</v>
      </c>
      <c r="C46" s="4" t="s">
        <v>22</v>
      </c>
      <c r="D46" s="4">
        <v>36</v>
      </c>
      <c r="E46" s="4" t="s">
        <v>59</v>
      </c>
      <c r="F46" s="4" t="s">
        <v>80</v>
      </c>
      <c r="G46" s="4" t="s">
        <v>50</v>
      </c>
      <c r="H46" s="4" t="s">
        <v>81</v>
      </c>
      <c r="I46" s="4" t="s">
        <v>197</v>
      </c>
      <c r="J46" s="4" t="s">
        <v>198</v>
      </c>
      <c r="K46" s="4" t="s">
        <v>63</v>
      </c>
      <c r="L46" s="4" t="s">
        <v>30</v>
      </c>
      <c r="M46" s="4">
        <v>98612</v>
      </c>
      <c r="N46" s="4" t="s">
        <v>64</v>
      </c>
      <c r="O46" s="4">
        <v>1168</v>
      </c>
      <c r="P46" s="4" t="s">
        <v>46</v>
      </c>
      <c r="Q46" s="4">
        <v>9</v>
      </c>
      <c r="R46" s="4">
        <v>2</v>
      </c>
      <c r="S46" s="4" t="s">
        <v>47</v>
      </c>
      <c r="T46" s="4" t="s">
        <v>34</v>
      </c>
      <c r="U46" s="4" t="s">
        <v>35</v>
      </c>
    </row>
    <row r="47" spans="1:21">
      <c r="A47" s="4">
        <v>9228</v>
      </c>
      <c r="B47" s="4" t="s">
        <v>199</v>
      </c>
      <c r="C47" s="4" t="s">
        <v>37</v>
      </c>
      <c r="D47" s="4">
        <v>41</v>
      </c>
      <c r="E47" s="4" t="s">
        <v>59</v>
      </c>
      <c r="F47" s="4" t="s">
        <v>102</v>
      </c>
      <c r="G47" s="4" t="s">
        <v>72</v>
      </c>
      <c r="H47" s="4" t="s">
        <v>41</v>
      </c>
      <c r="I47" s="4" t="s">
        <v>200</v>
      </c>
      <c r="J47" s="4" t="s">
        <v>201</v>
      </c>
      <c r="K47" s="4" t="s">
        <v>111</v>
      </c>
      <c r="L47" s="4" t="s">
        <v>44</v>
      </c>
      <c r="M47" s="4">
        <v>38201</v>
      </c>
      <c r="N47" s="4" t="s">
        <v>64</v>
      </c>
      <c r="O47" s="4">
        <v>7111</v>
      </c>
      <c r="P47" s="4" t="s">
        <v>32</v>
      </c>
      <c r="Q47" s="4">
        <v>8</v>
      </c>
      <c r="R47" s="4">
        <v>4</v>
      </c>
      <c r="S47" s="4" t="s">
        <v>33</v>
      </c>
      <c r="T47" s="4" t="s">
        <v>75</v>
      </c>
      <c r="U47" s="4" t="s">
        <v>46</v>
      </c>
    </row>
    <row r="48" spans="1:21">
      <c r="A48" s="4">
        <v>8988</v>
      </c>
      <c r="B48" s="4" t="s">
        <v>202</v>
      </c>
      <c r="C48" s="4" t="s">
        <v>37</v>
      </c>
      <c r="D48" s="4">
        <v>25</v>
      </c>
      <c r="E48" s="4" t="s">
        <v>23</v>
      </c>
      <c r="F48" s="4" t="s">
        <v>24</v>
      </c>
      <c r="G48" s="4" t="s">
        <v>50</v>
      </c>
      <c r="H48" s="4" t="s">
        <v>51</v>
      </c>
      <c r="I48" s="4" t="s">
        <v>203</v>
      </c>
      <c r="J48" s="4" t="s">
        <v>204</v>
      </c>
      <c r="K48" s="4" t="s">
        <v>111</v>
      </c>
      <c r="L48" s="4" t="s">
        <v>44</v>
      </c>
      <c r="M48" s="4">
        <v>92919</v>
      </c>
      <c r="N48" s="4" t="s">
        <v>55</v>
      </c>
      <c r="O48" s="4">
        <v>9497</v>
      </c>
      <c r="P48" s="4" t="s">
        <v>32</v>
      </c>
      <c r="Q48" s="4">
        <v>7</v>
      </c>
      <c r="R48" s="4">
        <v>2</v>
      </c>
      <c r="S48" s="4" t="s">
        <v>46</v>
      </c>
      <c r="T48" s="4" t="s">
        <v>75</v>
      </c>
      <c r="U48" s="4" t="s">
        <v>57</v>
      </c>
    </row>
    <row r="49" spans="1:21">
      <c r="A49" s="4">
        <v>1952</v>
      </c>
      <c r="B49" s="4" t="s">
        <v>205</v>
      </c>
      <c r="C49" s="4" t="s">
        <v>22</v>
      </c>
      <c r="D49" s="4">
        <v>29</v>
      </c>
      <c r="E49" s="4" t="s">
        <v>38</v>
      </c>
      <c r="F49" s="4" t="s">
        <v>102</v>
      </c>
      <c r="G49" s="4" t="s">
        <v>25</v>
      </c>
      <c r="H49" s="4" t="s">
        <v>41</v>
      </c>
      <c r="I49" s="4" t="s">
        <v>206</v>
      </c>
      <c r="J49" s="4" t="s">
        <v>207</v>
      </c>
      <c r="K49" s="4" t="s">
        <v>29</v>
      </c>
      <c r="L49" s="4" t="s">
        <v>54</v>
      </c>
      <c r="M49" s="4">
        <v>45188</v>
      </c>
      <c r="N49" s="4" t="s">
        <v>64</v>
      </c>
      <c r="O49" s="4">
        <v>9591</v>
      </c>
      <c r="P49" s="4" t="s">
        <v>65</v>
      </c>
      <c r="Q49" s="4">
        <v>18</v>
      </c>
      <c r="R49" s="4">
        <v>3</v>
      </c>
      <c r="S49" s="4" t="s">
        <v>33</v>
      </c>
      <c r="T49" s="4" t="s">
        <v>75</v>
      </c>
      <c r="U49" s="4" t="s">
        <v>46</v>
      </c>
    </row>
    <row r="50" spans="1:21">
      <c r="A50" s="4">
        <v>5760</v>
      </c>
      <c r="B50" s="4" t="s">
        <v>208</v>
      </c>
      <c r="C50" s="4" t="s">
        <v>22</v>
      </c>
      <c r="D50" s="4">
        <v>59</v>
      </c>
      <c r="E50" s="4" t="s">
        <v>68</v>
      </c>
      <c r="F50" s="4" t="s">
        <v>49</v>
      </c>
      <c r="G50" s="4" t="s">
        <v>40</v>
      </c>
      <c r="H50" s="4" t="s">
        <v>26</v>
      </c>
      <c r="I50" s="4" t="s">
        <v>209</v>
      </c>
      <c r="J50" s="4" t="s">
        <v>210</v>
      </c>
      <c r="K50" s="4" t="s">
        <v>29</v>
      </c>
      <c r="L50" s="4" t="s">
        <v>44</v>
      </c>
      <c r="M50" s="4">
        <v>34927</v>
      </c>
      <c r="N50" s="4" t="s">
        <v>55</v>
      </c>
      <c r="O50" s="4">
        <v>6996</v>
      </c>
      <c r="P50" s="4" t="s">
        <v>65</v>
      </c>
      <c r="Q50" s="4">
        <v>16</v>
      </c>
      <c r="R50" s="4">
        <v>1</v>
      </c>
      <c r="S50" s="4" t="s">
        <v>47</v>
      </c>
      <c r="T50" s="4" t="s">
        <v>34</v>
      </c>
      <c r="U50" s="4" t="s">
        <v>35</v>
      </c>
    </row>
    <row r="51" spans="1:21">
      <c r="A51" s="4">
        <v>5742</v>
      </c>
      <c r="B51" s="4" t="s">
        <v>211</v>
      </c>
      <c r="C51" s="4" t="s">
        <v>22</v>
      </c>
      <c r="D51" s="4">
        <v>27</v>
      </c>
      <c r="E51" s="4" t="s">
        <v>38</v>
      </c>
      <c r="F51" s="4" t="s">
        <v>24</v>
      </c>
      <c r="G51" s="4" t="s">
        <v>50</v>
      </c>
      <c r="H51" s="4" t="s">
        <v>60</v>
      </c>
      <c r="I51" s="4" t="s">
        <v>212</v>
      </c>
      <c r="J51" s="4" t="s">
        <v>213</v>
      </c>
      <c r="K51" s="4" t="s">
        <v>29</v>
      </c>
      <c r="L51" s="4" t="s">
        <v>44</v>
      </c>
      <c r="M51" s="4">
        <v>33183</v>
      </c>
      <c r="N51" s="4" t="s">
        <v>64</v>
      </c>
      <c r="O51" s="4">
        <v>1659</v>
      </c>
      <c r="P51" s="4" t="s">
        <v>46</v>
      </c>
      <c r="Q51" s="4">
        <v>11</v>
      </c>
      <c r="R51" s="4">
        <v>1</v>
      </c>
      <c r="S51" s="4" t="s">
        <v>33</v>
      </c>
      <c r="T51" s="4" t="s">
        <v>66</v>
      </c>
      <c r="U51" s="4" t="s">
        <v>46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Sheet4</vt:lpstr>
      <vt:lpstr>DATA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kython</dc:creator>
  <cp:lastModifiedBy>kython</cp:lastModifiedBy>
  <cp:lastPrinted>2025-10-31T13:36:56Z</cp:lastPrinted>
  <dcterms:created xsi:type="dcterms:W3CDTF">2025-10-31T13:13:17Z</dcterms:created>
  <dcterms:modified xsi:type="dcterms:W3CDTF">2025-11-02T12:45:43Z</dcterms:modified>
</cp:coreProperties>
</file>